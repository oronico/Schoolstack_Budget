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395842f9f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68fd964c6da84236"/>
    <x:sheet xmlns:r="http://schemas.openxmlformats.org/officeDocument/2006/relationships" name="Assumptions" sheetId="2" r:id="R632bb3412a63476e"/>
    <x:sheet xmlns:r="http://schemas.openxmlformats.org/officeDocument/2006/relationships" name="Drivers" sheetId="3" r:id="R47b28d1461114d8d"/>
    <x:sheet xmlns:r="http://schemas.openxmlformats.org/officeDocument/2006/relationships" name="Staffing" sheetId="4" r:id="R560438b31eaa40e0"/>
    <x:sheet xmlns:r="http://schemas.openxmlformats.org/officeDocument/2006/relationships" name="5-Year P&amp;L" sheetId="5" r:id="Re8be2c910cb743d7"/>
    <x:sheet xmlns:r="http://schemas.openxmlformats.org/officeDocument/2006/relationships" name="Cash Flow &amp; DSCR" sheetId="6" r:id="R19ca051cb7474ff4"/>
    <x:sheet xmlns:r="http://schemas.openxmlformats.org/officeDocument/2006/relationships" name="Loan Snapshot" sheetId="7" r:id="Rcf0356d358d84f4f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D11" authorId="0">
      <x:text>
        <x:r>
          <x:t>Source: founder input. Enter the expected enrolled students in the first operating year.</x:t>
        </x:r>
      </x:text>
    </x:comment>
    <x:comment ref="D12" authorId="0">
      <x:text>
        <x:r>
          <x:t>Source: founder input. Enter Year 2 enrollment directly rather than using a blanket growth assumption.</x:t>
        </x:r>
      </x:text>
    </x:comment>
    <x:comment ref="D18" authorId="0">
      <x:text>
        <x:r>
          <x:t>Source: founder input. Use the average full-price tuition per student in Year 1.</x:t>
        </x:r>
      </x:text>
    </x:comment>
    <x:comment ref="D20" authorId="0">
      <x:text>
        <x:r>
          <x:t>Source: founder input. Use public funding or ESA revenue per student if applicable.</x:t>
        </x:r>
      </x:text>
    </x:comment>
    <x:comment ref="D24" authorId="0">
      <x:text>
        <x:r>
          <x:t>Source: founder input. This applies only to family-paid revenue in this template.</x:t>
        </x:r>
      </x:text>
    </x:comment>
    <x:comment ref="D25" authorId="0">
      <x:text>
        <x:r>
          <x:t>Source: founder input. Keep this conservative. If funding is not committed, set to zero.</x:t>
        </x:r>
      </x:text>
    </x:comment>
    <x:comment ref="D29" authorId="0">
      <x:text>
        <x:r>
          <x:t>Source: founder input. This drives automatic teacher FTE.</x:t>
        </x:r>
      </x:text>
    </x:comment>
    <x:comment ref="D39" authorId="0">
      <x:text>
        <x:r>
          <x:t>Source: founder input. Use a blended burden for benefits, payroll taxes, and related people costs.</x:t>
        </x:r>
      </x:text>
    </x:comment>
    <x:comment ref="D42" authorId="0">
      <x:text>
        <x:r>
          <x:t>Source: founder input. Use annualized rent in Year 1.</x:t>
        </x:r>
      </x:text>
    </x:comment>
    <x:comment ref="D46" authorId="0">
      <x:text>
        <x:r>
          <x:t>Source: founder input. Variable program cost per student. Examples: curriculum, supplies, licenses.</x:t>
        </x:r>
      </x:text>
    </x:comment>
    <x:comment ref="D52" authorId="0">
      <x:text>
        <x:r>
          <x:t>Source: founder input. Beginning unrestricted cash available at the start of Year 1.</x:t>
        </x:r>
      </x:text>
    </x:comment>
    <x:comment ref="D54" authorId="0">
      <x:text>
        <x:r>
          <x:t>Source: founder input. Proposed new loan amount. Leave zero if not modeling new debt.</x:t>
        </x:r>
      </x:text>
    </x:comment>
    <x:comment ref="D55" authorId="0">
      <x:text>
        <x:r>
          <x:t>Source: founder input. Annual interest rate for the proposed loan.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#,##0;[Red](#,##0);-"/>
    <x:numFmt numFmtId="165" formatCode="$#,##0;[Red]($#,##0);-"/>
    <x:numFmt numFmtId="166" formatCode="0.0%;[Red](0.0%);-"/>
    <x:numFmt numFmtId="167" formatCode="0.0x;[Red](0.0x);-"/>
  </x:numFmts>
  <x:fonts count="10">
    <x:font>
      <x:sz val="11"/>
      <x:color theme="1"/>
      <x:name val="Calibri"/>
      <x:family val="2"/>
      <x:scheme val="minor"/>
    </x:font>
    <x:font>
      <x:b/>
      <x:sz val="14"/>
      <x:color rgb="00FFFFFF"/>
      <x:name val="Calibri"/>
    </x:font>
    <x:font>
      <x:b/>
      <x:sz val="11"/>
      <x:color rgb="001F4E78"/>
      <x:name val="Calibri"/>
    </x:font>
    <x:font>
      <x:sz val="10"/>
      <x:color rgb="00000000"/>
      <x:name val="Calibri"/>
    </x:font>
    <x:font>
      <x:sz val="10"/>
      <x:color rgb="000000FF"/>
      <x:name val="Calibri"/>
    </x:font>
    <x:font>
      <x:b/>
      <x:sz val="10"/>
      <x:color rgb="00FFFFFF"/>
      <x:name val="Calibri"/>
    </x:font>
    <x:font>
      <x:b/>
      <x:sz val="11"/>
      <x:color rgb="00FFFFFF"/>
      <x:name val="Calibri"/>
    </x:font>
    <x:font>
      <x:b/>
      <x:sz val="10"/>
      <x:color rgb="001F4E78"/>
      <x:name val="Calibri"/>
    </x:font>
    <x:font>
      <x:sz val="9"/>
      <x:color rgb="00555555"/>
      <x:name val="Calibri"/>
    </x:font>
    <x:font>
      <x:i/>
      <x:sz val="9"/>
      <x:color rgb="00555555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FF2CC"/>
      </x:patternFill>
    </x:fill>
    <x:fill>
      <x:patternFill patternType="solid">
        <x:fgColor rgb="00FFFFFF"/>
      </x:patternFill>
    </x:fill>
    <x:fill>
      <x:patternFill patternType="solid">
        <x:fgColor rgb="00E2F0D9"/>
      </x:patternFill>
    </x:fill>
    <x:fill>
      <x:patternFill patternType="solid">
        <x:fgColor rgb="00F3F4F6"/>
      </x:patternFill>
    </x:fill>
  </x:fills>
  <x:borders count="4">
    <x:border>
      <x:left/>
      <x:right/>
      <x:top/>
      <x:bottom/>
      <x:diagonal/>
    </x:border>
    <x:border>
      <x:top style="thin">
        <x:color rgb="00C9D2D9"/>
      </x:top>
      <x:bottom style="thin">
        <x:color rgb="00C9D2D9"/>
      </x:bottom>
    </x:border>
    <x:border>
      <x:top style="medium">
        <x:color rgb="001F4E78"/>
      </x:top>
      <x:bottom style="medium">
        <x:color rgb="001F4E78"/>
      </x:bottom>
    </x:border>
    <x:border>
      <x:bottom style="thin">
        <x:color rgb="00C9D2D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/>
    <x:xf numFmtId="0" fontId="0" fillId="0" borderId="0" xfId="0" applyAlignment="1">
      <x:alignment horizontal="left" vertical="top" wrapText="1"/>
    </x:xf>
    <x:xf numFmtId="0" fontId="4" fillId="3" borderId="0" xfId="0"/>
    <x:xf numFmtId="0" fontId="3" fillId="0" borderId="0" xfId="0"/>
    <x:xf numFmtId="0" fontId="3" fillId="4" borderId="0" xfId="0"/>
    <x:xf numFmtId="0" fontId="3" fillId="5" borderId="0" xfId="0"/>
    <x:xf numFmtId="0" fontId="5" fillId="2" borderId="1" xfId="0" applyAlignment="1">
      <x:alignment horizontal="center" vertical="center"/>
    </x:xf>
    <x:xf numFmtId="0" fontId="6" fillId="2" borderId="2" xfId="0"/>
    <x:xf numFmtId="0" fontId="3" fillId="0" borderId="3" xfId="0" applyAlignment="1">
      <x:alignment horizontal="left" vertical="center"/>
    </x:xf>
    <x:xf numFmtId="0" fontId="4" fillId="3" borderId="3" xfId="0" applyAlignment="1">
      <x:alignment horizontal="right" vertical="center"/>
    </x:xf>
    <x:xf numFmtId="164" fontId="4" fillId="3" borderId="3" xfId="0" applyAlignment="1">
      <x:alignment horizontal="right" vertical="center"/>
    </x:xf>
    <x:xf numFmtId="165" fontId="4" fillId="3" borderId="3" xfId="0" applyAlignment="1">
      <x:alignment horizontal="right" vertical="center"/>
    </x:xf>
    <x:xf numFmtId="166" fontId="4" fillId="3" borderId="3" xfId="0" applyAlignment="1">
      <x:alignment horizontal="right" vertical="center"/>
    </x:xf>
    <x:xf numFmtId="0" fontId="7" fillId="6" borderId="1" xfId="0" applyAlignment="1">
      <x:alignment horizontal="center" vertical="center"/>
    </x:xf>
    <x:xf numFmtId="0" fontId="6" fillId="2" borderId="2" xfId="0" applyAlignment="1">
      <x:alignment horizontal="left" vertical="center"/>
    </x:xf>
    <x:xf numFmtId="164" fontId="3" fillId="0" borderId="3" xfId="0" applyAlignment="1">
      <x:alignment horizontal="right" vertical="center"/>
    </x:xf>
    <x:xf numFmtId="165" fontId="3" fillId="0" borderId="3" xfId="0" applyAlignment="1">
      <x:alignment horizontal="right" vertical="center"/>
    </x:xf>
    <x:xf numFmtId="166" fontId="3" fillId="0" borderId="3" xfId="0" applyAlignment="1">
      <x:alignment horizontal="right" vertical="center"/>
    </x:xf>
    <x:xf numFmtId="0" fontId="9" fillId="0" borderId="0" xfId="0"/>
    <x:xf numFmtId="167" fontId="3" fillId="0" borderId="3" xfId="0" applyAlignment="1">
      <x:alignment horizontal="right" vertical="center"/>
    </x:xf>
    <x:xf numFmtId="0" fontId="3" fillId="0" borderId="3" xfId="0" applyAlignment="1">
      <x:alignment horizontal="right" vertical="center"/>
    </x:xf>
    <x:xf numFmtId="0" fontId="5" fillId="2" borderId="0" xfId="0" applyAlignment="1">
      <x:alignment horizontal="center" vertical="center"/>
    </x:xf>
    <x:xf numFmtId="0" fontId="3" fillId="0" borderId="3" xfId="0" applyAlignment="1">
      <x:alignment horizontal="center" vertical="center"/>
    </x:xf>
    <x:xf numFmtId="0" fontId="8" fillId="0" borderId="0" xfId="0"/>
  </x:cellXfs>
  <x:cellStyles count="1">
    <x:cellStyle name="Normal" xfId="0"/>
  </x:cellStyles>
  <x:dxfs count="3">
    <x:dxf>
      <x:fill>
        <x:patternFill>
          <x:bgColor rgb="00E2F0D9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FDE9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f944131e84cd6" /><Relationship Type="http://schemas.openxmlformats.org/officeDocument/2006/relationships/theme" Target="/xl/theme/theme1.xml" Id="R0ea3a424156a49f2" /><Relationship Type="http://schemas.openxmlformats.org/officeDocument/2006/relationships/sharedStrings" Target="/xl/sharedStrings.xml" Id="R1ea0cf6b448b4b97" /><Relationship Type="http://schemas.openxmlformats.org/officeDocument/2006/relationships/worksheet" Target="/xl/worksheets/sheet1.xml" Id="R68fd964c6da84236" /><Relationship Type="http://schemas.openxmlformats.org/officeDocument/2006/relationships/worksheet" Target="/xl/worksheets/sheet2.xml" Id="R632bb3412a63476e" /><Relationship Type="http://schemas.openxmlformats.org/officeDocument/2006/relationships/worksheet" Target="/xl/worksheets/sheet3.xml" Id="R47b28d1461114d8d" /><Relationship Type="http://schemas.openxmlformats.org/officeDocument/2006/relationships/worksheet" Target="/xl/worksheets/sheet4.xml" Id="R560438b31eaa40e0" /><Relationship Type="http://schemas.openxmlformats.org/officeDocument/2006/relationships/worksheet" Target="/xl/worksheets/sheet5.xml" Id="Re8be2c910cb743d7" /><Relationship Type="http://schemas.openxmlformats.org/officeDocument/2006/relationships/worksheet" Target="/xl/worksheets/sheet6.xml" Id="R19ca051cb7474ff4" /><Relationship Type="http://schemas.openxmlformats.org/officeDocument/2006/relationships/worksheet" Target="/xl/worksheets/sheet7.xml" Id="Rcf0356d358d84f4f" /><Relationship Type="http://schemas.microsoft.com/office/2017/10/relationships/person" Target="/xl/persons/person.xml" Id="R2de633f9723d40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bf511c6dbf4d0c" /><Relationship Type="http://schemas.openxmlformats.org/officeDocument/2006/relationships/chart" Target="/xl/drawings/charts/chart2.xml" Id="R432254153974473c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vs Operating Expense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'5-Year P&amp;L'!$C$3:$G$3</c:f>
              <c:strCache>
                <c:ptCount val="0"/>
              </c:strCache>
            </c:strRef>
          </c:cat>
          <c:val>
            <c:numRef>
              <c:f>'5-Year P&amp;L'!$C$11:$G$11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OpEx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'5-Year P&amp;L'!$C$3:$G$3</c:f>
              <c:strCache>
                <c:ptCount val="0"/>
              </c:strCache>
            </c:strRef>
          </c:cat>
          <c:val>
            <c:numRef>
              <c:f>'5-Year P&amp;L'!$C$19:$G$19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Year</a:t>
                </a:r>
              </a:p>
            </c:rich>
          </c:tx>
        </c:title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USD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Ending Cash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Ending Cash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'5-Year P&amp;L'!$C$3:$G$3</c:f>
              <c:strCache>
                <c:ptCount val="0"/>
              </c:strCache>
            </c:strRef>
          </c:cat>
          <c:val>
            <c:numRef>
              <c:f>'Cash Flow &amp; DSCR'!$C$11:$G$11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Year</a:t>
                </a:r>
              </a:p>
            </c:rich>
          </c:tx>
        </c:title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USD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bf511c6dbf4d0c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2254153974473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87346F0D-4CD1-7171-177B-BD2CF9C42E74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e5b663f5427d45bc" /><Relationship Type="http://schemas.openxmlformats.org/officeDocument/2006/relationships/vmlDrawing" Target="/xl/drawings/vmldrawing.vml" Id="Rc702ff5f743644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e3955c98b2624d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45" customWidth="1"/>
    <x:col min="3" max="3" width="4" customWidth="1"/>
    <x:col min="4" max="4" width="28" customWidth="1"/>
    <x:col min="5" max="5" width="28" customWidth="1"/>
    <x:col min="6" max="6" width="20" customWidth="1"/>
    <x:col min="7" max="7" width="20" customWidth="1"/>
  </x:cols>
  <x:sheetData>
    <x:row r="1">
      <x:c r="A1" s="1" t="inlineStr">
        <x:is>
          <x:t xml:space="preserve">SchoolStack Preview. 5-Year Pro Forma Template</x:t>
        </x:is>
      </x:c>
    </x:row>
    <x:row r="3">
      <x:c r="A3" s="2" t="inlineStr">
        <x:is>
          <x:t xml:space="preserve">What this workbook does</x:t>
        </x:is>
      </x:c>
      <x:c r="D3" s="2" t="inlineStr">
        <x:is>
          <x:t xml:space="preserve">Important note</x:t>
        </x:is>
      </x:c>
    </x:row>
    <x:row r="4" ht="36" customHeight="1">
      <x:c r="A4" s="3" t="inlineStr">
        <x:is>
          <x:t xml:space="preserve">This is a stripped-down lender-facing planning model for early-stage school founders. Enter assumptions on the Assumptions sheet. Every other tab updates with formulas.</x:t>
        </x:is>
      </x:c>
      <x:c r="D4" s="3" t="inlineStr">
        <x:is>
          <x:t xml:space="preserve">This workbook is intentionally basic. It is a teaser product for SchoolStack.ai and a front-end tool for the loan program, not a full accounting model.</x:t>
        </x:is>
      </x:c>
    </x:row>
    <x:row r="6">
      <x:c r="A6" s="2" t="inlineStr">
        <x:is>
          <x:t xml:space="preserve">What is in scope</x:t>
        </x:is>
      </x:c>
    </x:row>
    <x:row r="7">
      <x:c r="A7" t="inlineStr">
        <x:is>
          <x:t xml:space="preserve">• Five annual operating years</x:t>
        </x:is>
      </x:c>
    </x:row>
    <x:row r="8">
      <x:c r="A8" t="inlineStr">
        <x:is>
          <x:t xml:space="preserve">• Revenue build from enrollment, tuition, ESA/public funding, other earned revenue, and grants</x:t>
        </x:is>
      </x:c>
    </x:row>
    <x:row r="9">
      <x:c r="A9" t="inlineStr">
        <x:is>
          <x:t xml:space="preserve">• Staffing schedule with automatic teacher FTE based on students per teacher</x:t>
        </x:is>
      </x:c>
    </x:row>
    <x:row r="10">
      <x:c r="A10" t="inlineStr">
        <x:is>
          <x:t xml:space="preserve">• Cash flow before debt service, debt service, ending cash, DSCR, days cash on hand</x:t>
        </x:is>
      </x:c>
    </x:row>
    <x:row r="11">
      <x:c r="A11" t="inlineStr">
        <x:is>
          <x:t xml:space="preserve">• Break-even enrollment based on contribution margin per student</x:t>
        </x:is>
      </x:c>
    </x:row>
    <x:row r="14">
      <x:c r="A14" s="2" t="inlineStr">
        <x:is>
          <x:t xml:space="preserve">How to use it</x:t>
        </x:is>
      </x:c>
    </x:row>
    <x:row r="15">
      <x:c r="A15" t="inlineStr">
        <x:is>
          <x:t xml:space="preserve">1. Replace all yellow cells on Assumptions with school-specific inputs.</x:t>
        </x:is>
      </x:c>
    </x:row>
    <x:row r="16">
      <x:c r="A16" t="inlineStr">
        <x:is>
          <x:t xml:space="preserve">2. Review Drivers and Staffing to confirm the formulas align to the founder’s operating plan.</x:t>
        </x:is>
      </x:c>
    </x:row>
    <x:row r="17">
      <x:c r="A17" t="inlineStr">
        <x:is>
          <x:t xml:space="preserve">3. Use 5-Year P&amp;L and Cash Flow &amp; DSCR for loan conversations.</x:t>
        </x:is>
      </x:c>
    </x:row>
    <x:row r="18" ht="24" customHeight="1">
      <x:c r="A18" t="inlineStr">
        <x:is>
          <x:t xml:space="preserve">4. Use Loan Snapshot as the quick-read export view.</x:t>
        </x:is>
      </x:c>
    </x:row>
    <x:row r="19">
      <x:c r="A19" t="inlineStr">
        <x:is>
          <x:t xml:space="preserve">5. Treat grants as conservative. If funding is not committed, set it to zero.</x:t>
        </x:is>
      </x:c>
    </x:row>
    <x:row r="22">
      <x:c r="A22" s="2" t="inlineStr">
        <x:is>
          <x:t xml:space="preserve">Color key</x:t>
        </x:is>
      </x:c>
    </x:row>
    <x:row r="23">
      <x:c r="A23" s="4" t="inlineStr">
        <x:is>
          <x:t xml:space="preserve">Yellow fill + blue text</x:t>
        </x:is>
      </x:c>
      <x:c r="B23" s="5" t="inlineStr">
        <x:is>
          <x:t xml:space="preserve">Founder input</x:t>
        </x:is>
      </x:c>
    </x:row>
    <x:row r="24">
      <x:c r="A24" s="6" t="inlineStr">
        <x:is>
          <x:t xml:space="preserve">White fill + black text</x:t>
        </x:is>
      </x:c>
      <x:c r="B24" s="5" t="inlineStr">
        <x:is>
          <x:t xml:space="preserve">Formula / output</x:t>
        </x:is>
      </x:c>
    </x:row>
    <x:row r="25">
      <x:c r="A25" s="7" t="inlineStr">
        <x:is>
          <x:t xml:space="preserve">Loan Snapshot status cells</x:t>
        </x:is>
      </x:c>
      <x:c r="B25" s="5" t="inlineStr">
        <x:is>
          <x:t xml:space="preserve">Pass / Watch / Risk</x:t>
        </x:is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34" customWidth="1"/>
    <x:col min="3" max="3" width="16" customWidth="1"/>
    <x:col min="4" max="4" width="18" customWidth="1"/>
  </x:cols>
  <x:sheetData>
    <x:row r="1">
      <x:c r="A1" s="1" t="inlineStr">
        <x:is>
          <x:t xml:space="preserve">Assumptions</x:t>
        </x:is>
      </x:c>
    </x:row>
    <x:row r="2">
      <x:c r="A2" s="8" t="inlineStr">
        <x:is>
          <x:t xml:space="preserve">Section</x:t>
        </x:is>
      </x:c>
      <x:c r="B2" s="8" t="inlineStr">
        <x:is>
          <x:t xml:space="preserve">Driver</x:t>
        </x:is>
      </x:c>
      <x:c r="C2" s="8" t="inlineStr">
        <x:is>
          <x:t xml:space="preserve">Units</x:t>
        </x:is>
      </x:c>
      <x:c r="D2" s="8" t="inlineStr">
        <x:is>
          <x:t xml:space="preserve">Input</x:t>
        </x:is>
      </x:c>
    </x:row>
    <x:row r="4">
      <x:c r="A4" s="9" t="inlineStr">
        <x:is>
          <x:t xml:space="preserve">Profile</x:t>
        </x:is>
      </x:c>
      <x:c r="B4" s="9" t="n"/>
      <x:c r="C4" s="9" t="n"/>
      <x:c r="D4" s="9" t="n"/>
    </x:row>
    <x:row r="5">
      <x:c r="A5" s="10" t="inlineStr">
        <x:is>
          <x:t xml:space="preserve">Profile</x:t>
        </x:is>
      </x:c>
      <x:c r="B5" s="10" t="inlineStr">
        <x:is>
          <x:t xml:space="preserve">School name</x:t>
        </x:is>
      </x:c>
      <x:c r="C5" s="10" t="inlineStr">
        <x:is>
          <x:t xml:space="preserve">Text</x:t>
        </x:is>
      </x:c>
      <x:c r="D5" s="11" t="inlineStr">
        <x:is>
          <x:t xml:space="preserve">School Name</x:t>
        </x:is>
      </x:c>
    </x:row>
    <x:row r="6">
      <x:c r="A6" s="10" t="inlineStr">
        <x:is>
          <x:t xml:space="preserve">Profile</x:t>
        </x:is>
      </x:c>
      <x:c r="B6" s="10" t="inlineStr">
        <x:is>
          <x:t xml:space="preserve">State</x:t>
        </x:is>
      </x:c>
      <x:c r="C6" s="10" t="inlineStr">
        <x:is>
          <x:t xml:space="preserve">Text</x:t>
        </x:is>
      </x:c>
      <x:c r="D6" s="11" t="inlineStr">
        <x:is>
          <x:t xml:space="preserve">SC</x:t>
        </x:is>
      </x:c>
    </x:row>
    <x:row r="7">
      <x:c r="A7" s="10" t="inlineStr">
        <x:is>
          <x:t xml:space="preserve">Profile</x:t>
        </x:is>
      </x:c>
      <x:c r="B7" s="10" t="inlineStr">
        <x:is>
          <x:t xml:space="preserve">School type</x:t>
        </x:is>
      </x:c>
      <x:c r="C7" s="10" t="inlineStr">
        <x:is>
          <x:t xml:space="preserve">List</x:t>
        </x:is>
      </x:c>
      <x:c r="D7" s="11" t="inlineStr">
        <x:is>
          <x:t xml:space="preserve">Microschool</x:t>
        </x:is>
      </x:c>
    </x:row>
    <x:row r="8">
      <x:c r="A8" s="10" t="inlineStr">
        <x:is>
          <x:t xml:space="preserve">Profile</x:t>
        </x:is>
      </x:c>
      <x:c r="B8" s="10" t="inlineStr">
        <x:is>
          <x:t xml:space="preserve">First operating year</x:t>
        </x:is>
      </x:c>
      <x:c r="C8" s="10" t="inlineStr">
        <x:is>
          <x:t xml:space="preserve">Year</x:t>
        </x:is>
      </x:c>
      <x:c r="D8" s="12" t="n">
        <x:v>2026</x:v>
      </x:c>
    </x:row>
    <x:row r="10">
      <x:c r="A10" s="9" t="inlineStr">
        <x:is>
          <x:t xml:space="preserve">Enrollment &amp; Pricing</x:t>
        </x:is>
      </x:c>
      <x:c r="B10" s="9" t="n"/>
      <x:c r="C10" s="9" t="n"/>
      <x:c r="D10" s="9" t="n"/>
    </x:row>
    <x:row r="11">
      <x:c r="A11" s="10" t="inlineStr">
        <x:is>
          <x:t xml:space="preserve">Enrollment &amp; Pricing</x:t>
        </x:is>
      </x:c>
      <x:c r="B11" s="10" t="inlineStr">
        <x:is>
          <x:t xml:space="preserve">Enrollment. Year 1</x:t>
        </x:is>
      </x:c>
      <x:c r="C11" s="10" t="inlineStr">
        <x:is>
          <x:t xml:space="preserve">Students</x:t>
        </x:is>
      </x:c>
      <x:c r="D11" s="12" t="n">
        <x:v>24</x:v>
      </x:c>
    </x:row>
    <x:row r="12">
      <x:c r="A12" s="10" t="inlineStr">
        <x:is>
          <x:t xml:space="preserve">Enrollment &amp; Pricing</x:t>
        </x:is>
      </x:c>
      <x:c r="B12" s="10" t="inlineStr">
        <x:is>
          <x:t xml:space="preserve">Enrollment. Year 2</x:t>
        </x:is>
      </x:c>
      <x:c r="C12" s="10" t="inlineStr">
        <x:is>
          <x:t xml:space="preserve">Students</x:t>
        </x:is>
      </x:c>
      <x:c r="D12" s="12" t="n">
        <x:v>36</x:v>
      </x:c>
    </x:row>
    <x:row r="13">
      <x:c r="A13" s="10" t="inlineStr">
        <x:is>
          <x:t xml:space="preserve">Enrollment &amp; Pricing</x:t>
        </x:is>
      </x:c>
      <x:c r="B13" s="10" t="inlineStr">
        <x:is>
          <x:t xml:space="preserve">Enrollment. Year 3</x:t>
        </x:is>
      </x:c>
      <x:c r="C13" s="10" t="inlineStr">
        <x:is>
          <x:t xml:space="preserve">Students</x:t>
        </x:is>
      </x:c>
      <x:c r="D13" s="12" t="n">
        <x:v>48</x:v>
      </x:c>
    </x:row>
    <x:row r="14">
      <x:c r="A14" s="10" t="inlineStr">
        <x:is>
          <x:t xml:space="preserve">Enrollment &amp; Pricing</x:t>
        </x:is>
      </x:c>
      <x:c r="B14" s="10" t="inlineStr">
        <x:is>
          <x:t xml:space="preserve">Enrollment. Year 4</x:t>
        </x:is>
      </x:c>
      <x:c r="C14" s="10" t="inlineStr">
        <x:is>
          <x:t xml:space="preserve">Students</x:t>
        </x:is>
      </x:c>
      <x:c r="D14" s="12" t="n">
        <x:v>60</x:v>
      </x:c>
    </x:row>
    <x:row r="15">
      <x:c r="A15" s="10" t="inlineStr">
        <x:is>
          <x:t xml:space="preserve">Enrollment &amp; Pricing</x:t>
        </x:is>
      </x:c>
      <x:c r="B15" s="10" t="inlineStr">
        <x:is>
          <x:t xml:space="preserve">Enrollment. Year 5</x:t>
        </x:is>
      </x:c>
      <x:c r="C15" s="10" t="inlineStr">
        <x:is>
          <x:t xml:space="preserve">Students</x:t>
        </x:is>
      </x:c>
      <x:c r="D15" s="12" t="n">
        <x:v>72</x:v>
      </x:c>
    </x:row>
    <x:row r="18">
      <x:c r="A18" s="10" t="inlineStr">
        <x:is>
          <x:t xml:space="preserve">Enrollment &amp; Pricing</x:t>
        </x:is>
      </x:c>
      <x:c r="B18" s="10" t="inlineStr">
        <x:is>
          <x:t xml:space="preserve">Tuition per student. Year 1</x:t>
        </x:is>
      </x:c>
      <x:c r="C18" s="10" t="inlineStr">
        <x:is>
          <x:t xml:space="preserve">$ / student</x:t>
        </x:is>
      </x:c>
      <x:c r="D18" s="13" t="n">
        <x:v>12000</x:v>
      </x:c>
    </x:row>
    <x:row r="19">
      <x:c r="A19" s="10" t="inlineStr">
        <x:is>
          <x:t xml:space="preserve">Enrollment &amp; Pricing</x:t>
        </x:is>
      </x:c>
      <x:c r="B19" s="10" t="inlineStr">
        <x:is>
          <x:t xml:space="preserve">Tuition annual growth</x:t>
        </x:is>
      </x:c>
      <x:c r="C19" s="10" t="inlineStr">
        <x:is>
          <x:t xml:space="preserve">%</x:t>
        </x:is>
      </x:c>
      <x:c r="D19" s="14" t="n">
        <x:v>0.03</x:v>
      </x:c>
    </x:row>
    <x:row r="20">
      <x:c r="A20" s="10" t="inlineStr">
        <x:is>
          <x:t xml:space="preserve">Enrollment &amp; Pricing</x:t>
        </x:is>
      </x:c>
      <x:c r="B20" s="10" t="inlineStr">
        <x:is>
          <x:t xml:space="preserve">ESA / public funding per student. Year 1</x:t>
        </x:is>
      </x:c>
      <x:c r="C20" s="10" t="inlineStr">
        <x:is>
          <x:t xml:space="preserve">$ / student</x:t>
        </x:is>
      </x:c>
      <x:c r="D20" s="13" t="n">
        <x:v>0</x:v>
      </x:c>
    </x:row>
    <x:row r="21">
      <x:c r="A21" s="10" t="inlineStr">
        <x:is>
          <x:t xml:space="preserve">Enrollment &amp; Pricing</x:t>
        </x:is>
      </x:c>
      <x:c r="B21" s="10" t="inlineStr">
        <x:is>
          <x:t xml:space="preserve">ESA annual growth</x:t>
        </x:is>
      </x:c>
      <x:c r="C21" s="10" t="inlineStr">
        <x:is>
          <x:t xml:space="preserve">%</x:t>
        </x:is>
      </x:c>
      <x:c r="D21" s="14" t="n">
        <x:v>0</x:v>
      </x:c>
    </x:row>
    <x:row r="22">
      <x:c r="A22" s="10" t="inlineStr">
        <x:is>
          <x:t xml:space="preserve">Enrollment &amp; Pricing</x:t>
        </x:is>
      </x:c>
      <x:c r="B22" s="10" t="inlineStr">
        <x:is>
          <x:t xml:space="preserve">Other earned revenue per student. Year 1</x:t>
        </x:is>
      </x:c>
      <x:c r="C22" s="10" t="inlineStr">
        <x:is>
          <x:t xml:space="preserve">$ / student</x:t>
        </x:is>
      </x:c>
      <x:c r="D22" s="13" t="n">
        <x:v>500</x:v>
      </x:c>
    </x:row>
    <x:row r="23">
      <x:c r="A23" s="10" t="inlineStr">
        <x:is>
          <x:t xml:space="preserve">Enrollment &amp; Pricing</x:t>
        </x:is>
      </x:c>
      <x:c r="B23" s="10" t="inlineStr">
        <x:is>
          <x:t xml:space="preserve">Other earned revenue growth</x:t>
        </x:is>
      </x:c>
      <x:c r="C23" s="10" t="inlineStr">
        <x:is>
          <x:t xml:space="preserve">%</x:t>
        </x:is>
      </x:c>
      <x:c r="D23" s="14" t="n">
        <x:v>0.02</x:v>
      </x:c>
    </x:row>
    <x:row r="24">
      <x:c r="A24" s="10" t="inlineStr">
        <x:is>
          <x:t xml:space="preserve">Enrollment &amp; Pricing</x:t>
        </x:is>
      </x:c>
      <x:c r="B24" s="10" t="inlineStr">
        <x:is>
          <x:t xml:space="preserve">Collection rate on family-paid revenue</x:t>
        </x:is>
      </x:c>
      <x:c r="C24" s="10" t="inlineStr">
        <x:is>
          <x:t xml:space="preserve">%</x:t>
        </x:is>
      </x:c>
      <x:c r="D24" s="14" t="n">
        <x:v>0.95</x:v>
      </x:c>
    </x:row>
    <x:row r="25">
      <x:c r="A25" s="10" t="inlineStr">
        <x:is>
          <x:t xml:space="preserve">Enrollment &amp; Pricing</x:t>
        </x:is>
      </x:c>
      <x:c r="B25" s="10" t="inlineStr">
        <x:is>
          <x:t xml:space="preserve">Grants / donations. Year 1</x:t>
        </x:is>
      </x:c>
      <x:c r="C25" s="10" t="inlineStr">
        <x:is>
          <x:t xml:space="preserve">$</x:t>
        </x:is>
      </x:c>
      <x:c r="D25" s="13" t="n">
        <x:v>25000</x:v>
      </x:c>
    </x:row>
    <x:row r="26">
      <x:c r="A26" s="10" t="inlineStr">
        <x:is>
          <x:t xml:space="preserve">Enrollment &amp; Pricing</x:t>
        </x:is>
      </x:c>
      <x:c r="B26" s="10" t="inlineStr">
        <x:is>
          <x:t xml:space="preserve">Grants annual growth</x:t>
        </x:is>
      </x:c>
      <x:c r="C26" s="10" t="inlineStr">
        <x:is>
          <x:t xml:space="preserve">%</x:t>
        </x:is>
      </x:c>
      <x:c r="D26" s="14" t="n">
        <x:v>0</x:v>
      </x:c>
    </x:row>
    <x:row r="28">
      <x:c r="A28" s="9" t="inlineStr">
        <x:is>
          <x:t xml:space="preserve">Staffing</x:t>
        </x:is>
      </x:c>
      <x:c r="B28" s="9" t="n"/>
      <x:c r="C28" s="9" t="n"/>
      <x:c r="D28" s="9" t="n"/>
    </x:row>
    <x:row r="29">
      <x:c r="A29" s="10" t="inlineStr">
        <x:is>
          <x:t xml:space="preserve">Staffing</x:t>
        </x:is>
      </x:c>
      <x:c r="B29" s="10" t="inlineStr">
        <x:is>
          <x:t xml:space="preserve">Students per teacher</x:t>
        </x:is>
      </x:c>
      <x:c r="C29" s="10" t="inlineStr">
        <x:is>
          <x:t xml:space="preserve">Students / teacher</x:t>
        </x:is>
      </x:c>
      <x:c r="D29" s="12" t="n">
        <x:v>12</x:v>
      </x:c>
    </x:row>
    <x:row r="30">
      <x:c r="A30" s="10" t="inlineStr">
        <x:is>
          <x:t xml:space="preserve">Staffing</x:t>
        </x:is>
      </x:c>
      <x:c r="B30" s="10" t="inlineStr">
        <x:is>
          <x:t xml:space="preserve">Teacher salary per FTE. Year 1</x:t>
        </x:is>
      </x:c>
      <x:c r="C30" s="10" t="inlineStr">
        <x:is>
          <x:t xml:space="preserve">$ / FTE</x:t>
        </x:is>
      </x:c>
      <x:c r="D30" s="13" t="n">
        <x:v>55000</x:v>
      </x:c>
    </x:row>
    <x:row r="31">
      <x:c r="A31" s="10" t="inlineStr">
        <x:is>
          <x:t xml:space="preserve">Staffing</x:t>
        </x:is>
      </x:c>
      <x:c r="B31" s="10" t="inlineStr">
        <x:is>
          <x:t xml:space="preserve">Teacher salary growth</x:t>
        </x:is>
      </x:c>
      <x:c r="C31" s="10" t="inlineStr">
        <x:is>
          <x:t xml:space="preserve">%</x:t>
        </x:is>
      </x:c>
      <x:c r="D31" s="14" t="n">
        <x:v>0.03</x:v>
      </x:c>
    </x:row>
    <x:row r="32">
      <x:c r="A32" s="10" t="inlineStr">
        <x:is>
          <x:t xml:space="preserve">Staffing</x:t>
        </x:is>
      </x:c>
      <x:c r="B32" s="10" t="inlineStr">
        <x:is>
          <x:t xml:space="preserve">Admin / support FTE. Year 1</x:t>
        </x:is>
      </x:c>
      <x:c r="C32" s="10" t="inlineStr">
        <x:is>
          <x:t xml:space="preserve">FTE</x:t>
        </x:is>
      </x:c>
      <x:c r="D32" s="12" t="n">
        <x:v>1</x:v>
      </x:c>
    </x:row>
    <x:row r="33">
      <x:c r="A33" s="10" t="inlineStr">
        <x:is>
          <x:t xml:space="preserve">Staffing</x:t>
        </x:is>
      </x:c>
      <x:c r="B33" s="10" t="inlineStr">
        <x:is>
          <x:t xml:space="preserve">Admin / support FTE. Year 2</x:t>
        </x:is>
      </x:c>
      <x:c r="C33" s="10" t="inlineStr">
        <x:is>
          <x:t xml:space="preserve">FTE</x:t>
        </x:is>
      </x:c>
      <x:c r="D33" s="12" t="n">
        <x:v>1</x:v>
      </x:c>
    </x:row>
    <x:row r="34">
      <x:c r="A34" s="10" t="inlineStr">
        <x:is>
          <x:t xml:space="preserve">Staffing</x:t>
        </x:is>
      </x:c>
      <x:c r="B34" s="10" t="inlineStr">
        <x:is>
          <x:t xml:space="preserve">Admin / support FTE. Year 3</x:t>
        </x:is>
      </x:c>
      <x:c r="C34" s="10" t="inlineStr">
        <x:is>
          <x:t xml:space="preserve">FTE</x:t>
        </x:is>
      </x:c>
      <x:c r="D34" s="12" t="n">
        <x:v>1.5</x:v>
      </x:c>
    </x:row>
    <x:row r="35">
      <x:c r="A35" s="10" t="inlineStr">
        <x:is>
          <x:t xml:space="preserve">Staffing</x:t>
        </x:is>
      </x:c>
      <x:c r="B35" s="10" t="inlineStr">
        <x:is>
          <x:t xml:space="preserve">Admin / support FTE. Year 4</x:t>
        </x:is>
      </x:c>
      <x:c r="C35" s="10" t="inlineStr">
        <x:is>
          <x:t xml:space="preserve">FTE</x:t>
        </x:is>
      </x:c>
      <x:c r="D35" s="12" t="n">
        <x:v>2</x:v>
      </x:c>
    </x:row>
    <x:row r="36">
      <x:c r="A36" s="10" t="inlineStr">
        <x:is>
          <x:t xml:space="preserve">Staffing</x:t>
        </x:is>
      </x:c>
      <x:c r="B36" s="10" t="inlineStr">
        <x:is>
          <x:t xml:space="preserve">Admin / support FTE. Year 5</x:t>
        </x:is>
      </x:c>
      <x:c r="C36" s="10" t="inlineStr">
        <x:is>
          <x:t xml:space="preserve">FTE</x:t>
        </x:is>
      </x:c>
      <x:c r="D36" s="12" t="n">
        <x:v>2</x:v>
      </x:c>
    </x:row>
    <x:row r="37">
      <x:c r="A37" s="10" t="inlineStr">
        <x:is>
          <x:t xml:space="preserve">Staffing</x:t>
        </x:is>
      </x:c>
      <x:c r="B37" s="10" t="inlineStr">
        <x:is>
          <x:t xml:space="preserve">Admin salary per FTE. Year 1</x:t>
        </x:is>
      </x:c>
      <x:c r="C37" s="10" t="inlineStr">
        <x:is>
          <x:t xml:space="preserve">$ / FTE</x:t>
        </x:is>
      </x:c>
      <x:c r="D37" s="13" t="n">
        <x:v>65000</x:v>
      </x:c>
    </x:row>
    <x:row r="38">
      <x:c r="A38" s="10" t="inlineStr">
        <x:is>
          <x:t xml:space="preserve">Staffing</x:t>
        </x:is>
      </x:c>
      <x:c r="B38" s="10" t="inlineStr">
        <x:is>
          <x:t xml:space="preserve">Admin salary growth</x:t>
        </x:is>
      </x:c>
      <x:c r="C38" s="10" t="inlineStr">
        <x:is>
          <x:t xml:space="preserve">%</x:t>
        </x:is>
      </x:c>
      <x:c r="D38" s="14" t="n">
        <x:v>0.03</x:v>
      </x:c>
    </x:row>
    <x:row r="39">
      <x:c r="A39" s="10" t="inlineStr">
        <x:is>
          <x:t xml:space="preserve">Staffing</x:t>
        </x:is>
      </x:c>
      <x:c r="B39" s="10" t="inlineStr">
        <x:is>
          <x:t xml:space="preserve">Benefits + payroll burden</x:t>
        </x:is>
      </x:c>
      <x:c r="C39" s="10" t="inlineStr">
        <x:is>
          <x:t xml:space="preserve">%</x:t>
        </x:is>
      </x:c>
      <x:c r="D39" s="14" t="n">
        <x:v>0.1</x:v>
      </x:c>
    </x:row>
    <x:row r="41">
      <x:c r="A41" s="9" t="inlineStr">
        <x:is>
          <x:t xml:space="preserve">Facilities &amp; Operating</x:t>
        </x:is>
      </x:c>
      <x:c r="B41" s="9" t="n"/>
      <x:c r="C41" s="9" t="n"/>
      <x:c r="D41" s="9" t="n"/>
    </x:row>
    <x:row r="42">
      <x:c r="A42" s="10" t="inlineStr">
        <x:is>
          <x:t xml:space="preserve">Facilities &amp; Operating</x:t>
        </x:is>
      </x:c>
      <x:c r="B42" s="10" t="inlineStr">
        <x:is>
          <x:t xml:space="preserve">Annual rent. Year 1</x:t>
        </x:is>
      </x:c>
      <x:c r="C42" s="10" t="inlineStr">
        <x:is>
          <x:t xml:space="preserve">$</x:t>
        </x:is>
      </x:c>
      <x:c r="D42" s="13" t="n">
        <x:v>48000</x:v>
      </x:c>
    </x:row>
    <x:row r="43">
      <x:c r="A43" s="10" t="inlineStr">
        <x:is>
          <x:t xml:space="preserve">Facilities &amp; Operating</x:t>
        </x:is>
      </x:c>
      <x:c r="B43" s="10" t="inlineStr">
        <x:is>
          <x:t xml:space="preserve">Rent annual growth</x:t>
        </x:is>
      </x:c>
      <x:c r="C43" s="10" t="inlineStr">
        <x:is>
          <x:t xml:space="preserve">%</x:t>
        </x:is>
      </x:c>
      <x:c r="D43" s="14" t="n">
        <x:v>0.03</x:v>
      </x:c>
    </x:row>
    <x:row r="44">
      <x:c r="A44" s="10" t="inlineStr">
        <x:is>
          <x:t xml:space="preserve">Facilities &amp; Operating</x:t>
        </x:is>
      </x:c>
      <x:c r="B44" s="10" t="inlineStr">
        <x:is>
          <x:t xml:space="preserve">Other facility cost. Year 1</x:t>
        </x:is>
      </x:c>
      <x:c r="C44" s="10" t="inlineStr">
        <x:is>
          <x:t xml:space="preserve">$</x:t>
        </x:is>
      </x:c>
      <x:c r="D44" s="13" t="n">
        <x:v>12000</x:v>
      </x:c>
    </x:row>
    <x:row r="45">
      <x:c r="A45" s="10" t="inlineStr">
        <x:is>
          <x:t xml:space="preserve">Facilities &amp; Operating</x:t>
        </x:is>
      </x:c>
      <x:c r="B45" s="10" t="inlineStr">
        <x:is>
          <x:t xml:space="preserve">Other facility cost growth</x:t>
        </x:is>
      </x:c>
      <x:c r="C45" s="10" t="inlineStr">
        <x:is>
          <x:t xml:space="preserve">%</x:t>
        </x:is>
      </x:c>
      <x:c r="D45" s="14" t="n">
        <x:v>0.03</x:v>
      </x:c>
    </x:row>
    <x:row r="46">
      <x:c r="A46" s="10" t="inlineStr">
        <x:is>
          <x:t xml:space="preserve">Facilities &amp; Operating</x:t>
        </x:is>
      </x:c>
      <x:c r="B46" s="10" t="inlineStr">
        <x:is>
          <x:t xml:space="preserve">Program cost per student. Year 1</x:t>
        </x:is>
      </x:c>
      <x:c r="C46" s="10" t="inlineStr">
        <x:is>
          <x:t xml:space="preserve">$ / student</x:t>
        </x:is>
      </x:c>
      <x:c r="D46" s="13" t="n">
        <x:v>1800</x:v>
      </x:c>
    </x:row>
    <x:row r="47">
      <x:c r="A47" s="10" t="inlineStr">
        <x:is>
          <x:t xml:space="preserve">Facilities &amp; Operating</x:t>
        </x:is>
      </x:c>
      <x:c r="B47" s="10" t="inlineStr">
        <x:is>
          <x:t xml:space="preserve">Program cost growth</x:t>
        </x:is>
      </x:c>
      <x:c r="C47" s="10" t="inlineStr">
        <x:is>
          <x:t xml:space="preserve">%</x:t>
        </x:is>
      </x:c>
      <x:c r="D47" s="14" t="n">
        <x:v>0.03</x:v>
      </x:c>
    </x:row>
    <x:row r="48">
      <x:c r="A48" s="10" t="inlineStr">
        <x:is>
          <x:t xml:space="preserve">Facilities &amp; Operating</x:t>
        </x:is>
      </x:c>
      <x:c r="B48" s="10" t="inlineStr">
        <x:is>
          <x:t xml:space="preserve">Fixed operating cost. Year 1</x:t>
        </x:is>
      </x:c>
      <x:c r="C48" s="10" t="inlineStr">
        <x:is>
          <x:t xml:space="preserve">$</x:t>
        </x:is>
      </x:c>
      <x:c r="D48" s="13" t="n">
        <x:v>30000</x:v>
      </x:c>
    </x:row>
    <x:row r="49">
      <x:c r="A49" s="10" t="inlineStr">
        <x:is>
          <x:t xml:space="preserve">Facilities &amp; Operating</x:t>
        </x:is>
      </x:c>
      <x:c r="B49" s="10" t="inlineStr">
        <x:is>
          <x:t xml:space="preserve">Fixed operating cost growth</x:t>
        </x:is>
      </x:c>
      <x:c r="C49" s="10" t="inlineStr">
        <x:is>
          <x:t xml:space="preserve">%</x:t>
        </x:is>
      </x:c>
      <x:c r="D49" s="14" t="n">
        <x:v>0.03</x:v>
      </x:c>
    </x:row>
    <x:row r="51">
      <x:c r="A51" s="9" t="inlineStr">
        <x:is>
          <x:t xml:space="preserve">Capital &amp; Debt</x:t>
        </x:is>
      </x:c>
      <x:c r="B51" s="9" t="n"/>
      <x:c r="C51" s="9" t="n"/>
      <x:c r="D51" s="9" t="n"/>
    </x:row>
    <x:row r="52">
      <x:c r="A52" s="10" t="inlineStr">
        <x:is>
          <x:t xml:space="preserve">Capital &amp; Debt</x:t>
        </x:is>
      </x:c>
      <x:c r="B52" s="10" t="inlineStr">
        <x:is>
          <x:t xml:space="preserve">Starting cash</x:t>
        </x:is>
      </x:c>
      <x:c r="C52" s="10" t="inlineStr">
        <x:is>
          <x:t xml:space="preserve">$</x:t>
        </x:is>
      </x:c>
      <x:c r="D52" s="13" t="n">
        <x:v>50000</x:v>
      </x:c>
    </x:row>
    <x:row r="53">
      <x:c r="A53" s="10" t="inlineStr">
        <x:is>
          <x:t xml:space="preserve">Capital &amp; Debt</x:t>
        </x:is>
      </x:c>
      <x:c r="B53" s="10" t="inlineStr">
        <x:is>
          <x:t xml:space="preserve">Existing annual debt service</x:t>
        </x:is>
      </x:c>
      <x:c r="C53" s="10" t="inlineStr">
        <x:is>
          <x:t xml:space="preserve">$</x:t>
        </x:is>
      </x:c>
      <x:c r="D53" s="13" t="n">
        <x:v>0</x:v>
      </x:c>
    </x:row>
    <x:row r="54">
      <x:c r="A54" s="10" t="inlineStr">
        <x:is>
          <x:t xml:space="preserve">Capital &amp; Debt</x:t>
        </x:is>
      </x:c>
      <x:c r="B54" s="10" t="inlineStr">
        <x:is>
          <x:t xml:space="preserve">Proposed loan amount</x:t>
        </x:is>
      </x:c>
      <x:c r="C54" s="10" t="inlineStr">
        <x:is>
          <x:t xml:space="preserve">$</x:t>
        </x:is>
      </x:c>
      <x:c r="D54" s="13" t="n">
        <x:v>75000</x:v>
      </x:c>
    </x:row>
    <x:row r="55">
      <x:c r="A55" s="10" t="inlineStr">
        <x:is>
          <x:t xml:space="preserve">Capital &amp; Debt</x:t>
        </x:is>
      </x:c>
      <x:c r="B55" s="10" t="inlineStr">
        <x:is>
          <x:t xml:space="preserve">Interest rate</x:t>
        </x:is>
      </x:c>
      <x:c r="C55" s="10" t="inlineStr">
        <x:is>
          <x:t xml:space="preserve">%</x:t>
        </x:is>
      </x:c>
      <x:c r="D55" s="14" t="n">
        <x:v>0.08</x:v>
      </x:c>
    </x:row>
    <x:row r="56">
      <x:c r="A56" s="10" t="inlineStr">
        <x:is>
          <x:t xml:space="preserve">Capital &amp; Debt</x:t>
        </x:is>
      </x:c>
      <x:c r="B56" s="10" t="inlineStr">
        <x:is>
          <x:t xml:space="preserve">Term (years)</x:t>
        </x:is>
      </x:c>
      <x:c r="C56" s="10" t="inlineStr">
        <x:is>
          <x:t xml:space="preserve">Years</x:t>
        </x:is>
      </x:c>
      <x:c r="D56" s="12" t="n">
        <x:v>5</x:v>
      </x:c>
    </x:row>
  </x:sheetData>
  <x:mergeCells>
    <x:mergeCell ref="A1:D1"/>
  </x:mergeCells>
  <x:dataValidations count="1">
    <x:dataValidation type="list" allowBlank="0" showDropDown="0" showInputMessage="0" showErrorMessage="0" sqref="D7">
      <x:formula1>"Microschool,Private School,Charter School"</x:formula1>
    </x:dataValidation>
  </x:dataValidations>
  <x:pageMargins left="0.7" right="0.7" top="0.75" bottom="0.75" header="0.3" footer="0.3"/>
  <x:legacyDrawing xmlns:r="http://schemas.openxmlformats.org/officeDocument/2006/relationships" r:id="Rc702ff5f7436448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3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</x:cols>
  <x:sheetData>
    <x:row r="1">
      <x:c r="A1" s="1" t="inlineStr">
        <x:is>
          <x:t xml:space="preserve">Drivers</x:t>
        </x:is>
      </x:c>
    </x:row>
    <x:row r="2">
      <x:c r="A2" t="inlineStr">
        <x:is>
          <x:t xml:space="preserve"/>
        </x:is>
      </x:c>
      <x:c r="B2" t="inlineStr">
        <x:is>
          <x:t xml:space="preserve"/>
        </x:is>
      </x:c>
      <x:c r="C2" s="8" t="n">
        <x:v>1</x:v>
      </x:c>
      <x:c r="D2" s="8" t="n">
        <x:v>2</x:v>
      </x:c>
      <x:c r="E2" s="8" t="n">
        <x:v>3</x:v>
      </x:c>
      <x:c r="F2" s="8" t="n">
        <x:v>4</x:v>
      </x:c>
      <x:c r="G2" s="8" t="n">
        <x:v>5</x:v>
      </x:c>
    </x:row>
    <x:row r="3">
      <x:c r="A3" t="inlineStr">
        <x:is>
          <x:t xml:space="preserve"/>
        </x:is>
      </x:c>
      <x:c r="B3" t="inlineStr">
        <x:is>
          <x:t xml:space="preserve"/>
        </x:is>
      </x:c>
      <x:c r="C3" s="15">
        <x:f>Assumptions!$D$8+C$2-1</x:f>
        <x:v>2026</x:v>
      </x:c>
      <x:c r="D3" s="15">
        <x:f>Assumptions!$D$8+D$2-1</x:f>
        <x:v>2027</x:v>
      </x:c>
      <x:c r="E3" s="15">
        <x:f>Assumptions!$D$8+E$2-1</x:f>
        <x:v>2028</x:v>
      </x:c>
      <x:c r="F3" s="15">
        <x:f>Assumptions!$D$8+F$2-1</x:f>
        <x:v>2029</x:v>
      </x:c>
      <x:c r="G3" s="15">
        <x:f>Assumptions!$D$8+G$2-1</x:f>
        <x:v>2030</x:v>
      </x:c>
    </x:row>
    <x:row r="4"/>
    <x:row r="5"/>
    <x:row r="6">
      <x:c r="A6" s="16" t="inlineStr">
        <x:is>
          <x:t xml:space="preserve">Revenue &amp; volume drivers</x:t>
        </x:is>
      </x:c>
      <x:c r="B6" s="9" t="n"/>
      <x:c r="C6" s="9" t="n"/>
      <x:c r="D6" s="9" t="n"/>
      <x:c r="E6" s="9" t="n"/>
      <x:c r="F6" s="9" t="n"/>
      <x:c r="G6" s="9" t="n"/>
    </x:row>
    <x:row r="7">
      <x:c r="B7" s="10" t="inlineStr">
        <x:is>
          <x:t xml:space="preserve">Enrollment</x:t>
        </x:is>
      </x:c>
      <x:c r="C7" s="17">
        <x:f>Assumptions!$D$11</x:f>
        <x:v>24</x:v>
      </x:c>
      <x:c r="D7" s="17">
        <x:f>Assumptions!$D$12</x:f>
        <x:v>36</x:v>
      </x:c>
      <x:c r="E7" s="17">
        <x:f>Assumptions!$D$13</x:f>
        <x:v>48</x:v>
      </x:c>
      <x:c r="F7" s="17">
        <x:f>Assumptions!$D$14</x:f>
        <x:v>60</x:v>
      </x:c>
      <x:c r="G7" s="17">
        <x:f>Assumptions!$D$15</x:f>
        <x:v>72</x:v>
      </x:c>
    </x:row>
    <x:row r="8">
      <x:c r="B8" s="10" t="inlineStr">
        <x:is>
          <x:t xml:space="preserve">Tuition / student</x:t>
        </x:is>
      </x:c>
      <x:c r="C8" s="18">
        <x:f>Assumptions!$D$18</x:f>
        <x:v>12000</x:v>
      </x:c>
      <x:c r="D8" s="18">
        <x:f>C8*(1+Assumptions!$D$19)</x:f>
        <x:v>12360</x:v>
      </x:c>
      <x:c r="E8" s="18">
        <x:f>D8*(1+Assumptions!$D$19)</x:f>
        <x:v>12730.800000000001</x:v>
      </x:c>
      <x:c r="F8" s="18">
        <x:f>E8*(1+Assumptions!$D$19)</x:f>
        <x:v>13112.724000000002</x:v>
      </x:c>
      <x:c r="G8" s="18">
        <x:f>F8*(1+Assumptions!$D$19)</x:f>
        <x:v>13506.105720000003</x:v>
      </x:c>
    </x:row>
    <x:row r="9">
      <x:c r="B9" s="10" t="inlineStr">
        <x:is>
          <x:t xml:space="preserve">ESA / public funding / student</x:t>
        </x:is>
      </x:c>
      <x:c r="C9" s="18">
        <x:f>Assumptions!$D$20</x:f>
        <x:v>0</x:v>
      </x:c>
      <x:c r="D9" s="18">
        <x:f>C9*(1+Assumptions!$D$21)</x:f>
        <x:v>0</x:v>
      </x:c>
      <x:c r="E9" s="18">
        <x:f>D9*(1+Assumptions!$D$21)</x:f>
        <x:v>0</x:v>
      </x:c>
      <x:c r="F9" s="18">
        <x:f>E9*(1+Assumptions!$D$21)</x:f>
        <x:v>0</x:v>
      </x:c>
      <x:c r="G9" s="18">
        <x:f>F9*(1+Assumptions!$D$21)</x:f>
        <x:v>0</x:v>
      </x:c>
    </x:row>
    <x:row r="10">
      <x:c r="B10" s="10" t="inlineStr">
        <x:is>
          <x:t xml:space="preserve">Other earned revenue / student</x:t>
        </x:is>
      </x:c>
      <x:c r="C10" s="18">
        <x:f>Assumptions!$D$22</x:f>
        <x:v>500</x:v>
      </x:c>
      <x:c r="D10" s="18">
        <x:f>C10*(1+Assumptions!$D$23)</x:f>
        <x:v>510</x:v>
      </x:c>
      <x:c r="E10" s="18">
        <x:f>D10*(1+Assumptions!$D$23)</x:f>
        <x:v>520.2</x:v>
      </x:c>
      <x:c r="F10" s="18">
        <x:f>E10*(1+Assumptions!$D$23)</x:f>
        <x:v>530.604</x:v>
      </x:c>
      <x:c r="G10" s="18">
        <x:f>F10*(1+Assumptions!$D$23)</x:f>
        <x:v>541.21608</x:v>
      </x:c>
    </x:row>
    <x:row r="11">
      <x:c r="B11" s="10" t="inlineStr">
        <x:is>
          <x:t xml:space="preserve">Collection rate</x:t>
        </x:is>
      </x:c>
      <x:c r="C11" s="19">
        <x:f>Assumptions!$D$24</x:f>
        <x:v>0.95</x:v>
      </x:c>
      <x:c r="D11" s="19">
        <x:f>Assumptions!$D$24</x:f>
        <x:v>0.95</x:v>
      </x:c>
      <x:c r="E11" s="19">
        <x:f>Assumptions!$D$24</x:f>
        <x:v>0.95</x:v>
      </x:c>
      <x:c r="F11" s="19">
        <x:f>Assumptions!$D$24</x:f>
        <x:v>0.95</x:v>
      </x:c>
      <x:c r="G11" s="19">
        <x:f>Assumptions!$D$24</x:f>
        <x:v>0.95</x:v>
      </x:c>
    </x:row>
    <x:row r="12">
      <x:c r="B12" s="10" t="inlineStr">
        <x:is>
          <x:t xml:space="preserve">Net tuition revenue</x:t>
        </x:is>
      </x:c>
      <x:c r="C12" s="18">
        <x:f>C7*C8*C11</x:f>
        <x:v>273600</x:v>
      </x:c>
      <x:c r="D12" s="18">
        <x:f>D7*D8*D11</x:f>
        <x:v>422712</x:v>
      </x:c>
      <x:c r="E12" s="18">
        <x:f>E7*E8*E11</x:f>
        <x:v>580524.48</x:v>
      </x:c>
      <x:c r="F12" s="18">
        <x:f>F7*F8*F11</x:f>
        <x:v>747425.2680000002</x:v>
      </x:c>
      <x:c r="G12" s="18">
        <x:f>G7*G8*G11</x:f>
        <x:v>923817.6312480002</x:v>
      </x:c>
    </x:row>
    <x:row r="13">
      <x:c r="B13" s="10" t="inlineStr">
        <x:is>
          <x:t xml:space="preserve">ESA / public funding revenue</x:t>
        </x:is>
      </x:c>
      <x:c r="C13" s="18">
        <x:f>C7*C9</x:f>
        <x:v>0</x:v>
      </x:c>
      <x:c r="D13" s="18">
        <x:f>D7*D9</x:f>
        <x:v>0</x:v>
      </x:c>
      <x:c r="E13" s="18">
        <x:f>E7*E9</x:f>
        <x:v>0</x:v>
      </x:c>
      <x:c r="F13" s="18">
        <x:f>F7*F9</x:f>
        <x:v>0</x:v>
      </x:c>
      <x:c r="G13" s="18">
        <x:f>G7*G9</x:f>
        <x:v>0</x:v>
      </x:c>
    </x:row>
    <x:row r="14">
      <x:c r="B14" s="10" t="inlineStr">
        <x:is>
          <x:t xml:space="preserve">Other earned revenue</x:t>
        </x:is>
      </x:c>
      <x:c r="C14" s="18">
        <x:f>C7*C10*C11</x:f>
        <x:v>11400</x:v>
      </x:c>
      <x:c r="D14" s="18">
        <x:f>D7*D10*D11</x:f>
        <x:v>17442</x:v>
      </x:c>
      <x:c r="E14" s="18">
        <x:f>E7*E10*E11</x:f>
        <x:v>23721.120000000003</x:v>
      </x:c>
      <x:c r="F14" s="18">
        <x:f>F7*F10*F11</x:f>
        <x:v>30244.428</x:v>
      </x:c>
      <x:c r="G14" s="18">
        <x:f>G7*G10*G11</x:f>
        <x:v>37019.179872</x:v>
      </x:c>
    </x:row>
    <x:row r="15">
      <x:c r="B15" s="10" t="inlineStr">
        <x:is>
          <x:t xml:space="preserve">Grants / donations</x:t>
        </x:is>
      </x:c>
      <x:c r="C15" s="18">
        <x:f>Assumptions!$D$25</x:f>
        <x:v>25000</x:v>
      </x:c>
      <x:c r="D15" s="18">
        <x:f>C15*(1+Assumptions!$D$26)</x:f>
        <x:v>25000</x:v>
      </x:c>
      <x:c r="E15" s="18">
        <x:f>D15*(1+Assumptions!$D$26)</x:f>
        <x:v>25000</x:v>
      </x:c>
      <x:c r="F15" s="18">
        <x:f>E15*(1+Assumptions!$D$26)</x:f>
        <x:v>25000</x:v>
      </x:c>
      <x:c r="G15" s="18">
        <x:f>F15*(1+Assumptions!$D$26)</x:f>
        <x:v>25000</x:v>
      </x:c>
    </x:row>
    <x:row r="16">
      <x:c r="B16" s="10" t="inlineStr">
        <x:is>
          <x:t xml:space="preserve">Total revenue</x:t>
        </x:is>
      </x:c>
      <x:c r="C16" s="18">
        <x:f>SUM(C12:C15)</x:f>
        <x:v>310000</x:v>
      </x:c>
      <x:c r="D16" s="18">
        <x:f>SUM(D12:D15)</x:f>
        <x:v>465154</x:v>
      </x:c>
      <x:c r="E16" s="18">
        <x:f>SUM(E12:E15)</x:f>
        <x:v>629245.6</x:v>
      </x:c>
      <x:c r="F16" s="18">
        <x:f>SUM(F12:F15)</x:f>
        <x:v>802669.6960000001</x:v>
      </x:c>
      <x:c r="G16" s="18">
        <x:f>SUM(G12:G15)</x:f>
        <x:v>985836.8111200002</x:v>
      </x:c>
    </x:row>
    <x:row r="17"/>
    <x:row r="18">
      <x:c r="A18" s="16" t="inlineStr">
        <x:is>
          <x:t xml:space="preserve">Cost drivers</x:t>
        </x:is>
      </x:c>
      <x:c r="B18" s="9" t="n"/>
      <x:c r="C18" s="9" t="n"/>
      <x:c r="D18" s="9" t="n"/>
      <x:c r="E18" s="9" t="n"/>
      <x:c r="F18" s="9" t="n"/>
      <x:c r="G18" s="9" t="n"/>
    </x:row>
    <x:row r="19">
      <x:c r="B19" s="10" t="inlineStr">
        <x:is>
          <x:t xml:space="preserve">Teacher salary / FTE</x:t>
        </x:is>
      </x:c>
      <x:c r="C19" s="18">
        <x:f>Assumptions!$D$30</x:f>
        <x:v>55000</x:v>
      </x:c>
      <x:c r="D19" s="18">
        <x:f>C19*(1+Assumptions!$D$31)</x:f>
        <x:v>56650</x:v>
      </x:c>
      <x:c r="E19" s="18">
        <x:f>D19*(1+Assumptions!$D$31)</x:f>
        <x:v>58349.5</x:v>
      </x:c>
      <x:c r="F19" s="18">
        <x:f>E19*(1+Assumptions!$D$31)</x:f>
        <x:v>60099.985</x:v>
      </x:c>
      <x:c r="G19" s="18">
        <x:f>F19*(1+Assumptions!$D$31)</x:f>
        <x:v>61902.98455</x:v>
      </x:c>
    </x:row>
    <x:row r="20">
      <x:c r="B20" s="10" t="inlineStr">
        <x:is>
          <x:t xml:space="preserve">Admin salary / FTE</x:t>
        </x:is>
      </x:c>
      <x:c r="C20" s="18">
        <x:f>Assumptions!$D$37</x:f>
        <x:v>65000</x:v>
      </x:c>
      <x:c r="D20" s="18">
        <x:f>C20*(1+Assumptions!$D$38)</x:f>
        <x:v>66950</x:v>
      </x:c>
      <x:c r="E20" s="18">
        <x:f>D20*(1+Assumptions!$D$38)</x:f>
        <x:v>68958.5</x:v>
      </x:c>
      <x:c r="F20" s="18">
        <x:f>E20*(1+Assumptions!$D$38)</x:f>
        <x:v>71027.255</x:v>
      </x:c>
      <x:c r="G20" s="18">
        <x:f>F20*(1+Assumptions!$D$38)</x:f>
        <x:v>73158.07265</x:v>
      </x:c>
    </x:row>
    <x:row r="21">
      <x:c r="B21" s="10" t="inlineStr">
        <x:is>
          <x:t xml:space="preserve">Rent</x:t>
        </x:is>
      </x:c>
      <x:c r="C21" s="18">
        <x:f>Assumptions!$D$42</x:f>
        <x:v>48000</x:v>
      </x:c>
      <x:c r="D21" s="18">
        <x:f>C21*(1+Assumptions!$D$43)</x:f>
        <x:v>49440</x:v>
      </x:c>
      <x:c r="E21" s="18">
        <x:f>D21*(1+Assumptions!$D$43)</x:f>
        <x:v>50923.200000000004</x:v>
      </x:c>
      <x:c r="F21" s="18">
        <x:f>E21*(1+Assumptions!$D$43)</x:f>
        <x:v>52450.89600000001</x:v>
      </x:c>
      <x:c r="G21" s="18">
        <x:f>F21*(1+Assumptions!$D$43)</x:f>
        <x:v>54024.42288000001</x:v>
      </x:c>
    </x:row>
    <x:row r="22">
      <x:c r="B22" s="10" t="inlineStr">
        <x:is>
          <x:t xml:space="preserve">Other facility cost</x:t>
        </x:is>
      </x:c>
      <x:c r="C22" s="18">
        <x:f>Assumptions!$D$44</x:f>
        <x:v>12000</x:v>
      </x:c>
      <x:c r="D22" s="18">
        <x:f>C22*(1+Assumptions!$D$45)</x:f>
        <x:v>12360</x:v>
      </x:c>
      <x:c r="E22" s="18">
        <x:f>D22*(1+Assumptions!$D$45)</x:f>
        <x:v>12730.800000000001</x:v>
      </x:c>
      <x:c r="F22" s="18">
        <x:f>E22*(1+Assumptions!$D$45)</x:f>
        <x:v>13112.724000000002</x:v>
      </x:c>
      <x:c r="G22" s="18">
        <x:f>F22*(1+Assumptions!$D$45)</x:f>
        <x:v>13506.105720000003</x:v>
      </x:c>
    </x:row>
    <x:row r="23">
      <x:c r="B23" s="10" t="inlineStr">
        <x:is>
          <x:t xml:space="preserve">Program cost / student</x:t>
        </x:is>
      </x:c>
      <x:c r="C23" s="18">
        <x:f>Assumptions!$D$46</x:f>
        <x:v>1800</x:v>
      </x:c>
      <x:c r="D23" s="18">
        <x:f>C23*(1+Assumptions!$D$47)</x:f>
        <x:v>1854</x:v>
      </x:c>
      <x:c r="E23" s="18">
        <x:f>D23*(1+Assumptions!$D$47)</x:f>
        <x:v>1909.6200000000001</x:v>
      </x:c>
      <x:c r="F23" s="18">
        <x:f>E23*(1+Assumptions!$D$47)</x:f>
        <x:v>1966.9086000000002</x:v>
      </x:c>
      <x:c r="G23" s="18">
        <x:f>F23*(1+Assumptions!$D$47)</x:f>
        <x:v>2025.9158580000003</x:v>
      </x:c>
    </x:row>
    <x:row r="24">
      <x:c r="B24" s="10" t="inlineStr">
        <x:is>
          <x:t xml:space="preserve">Fixed operating cost</x:t>
        </x:is>
      </x:c>
      <x:c r="C24" s="18">
        <x:f>Assumptions!$D$48</x:f>
        <x:v>30000</x:v>
      </x:c>
      <x:c r="D24" s="18">
        <x:f>C24*(1+Assumptions!$D$49)</x:f>
        <x:v>30900</x:v>
      </x:c>
      <x:c r="E24" s="18">
        <x:f>D24*(1+Assumptions!$D$49)</x:f>
        <x:v>31827</x:v>
      </x:c>
      <x:c r="F24" s="18">
        <x:f>E24*(1+Assumptions!$D$49)</x:f>
        <x:v>32781.81</x:v>
      </x:c>
      <x:c r="G24" s="18">
        <x:f>F24*(1+Assumptions!$D$49)</x:f>
        <x:v>33765.264299999995</x:v>
      </x:c>
    </x:row>
    <x:row r="25">
      <x:c r="B25" s="10" t="inlineStr">
        <x:is>
          <x:t xml:space="preserve">Existing annual debt service</x:t>
        </x:is>
      </x:c>
      <x:c r="C25" s="18">
        <x:f>Assumptions!$D$53</x:f>
        <x:v>0</x:v>
      </x:c>
      <x:c r="D25" s="18">
        <x:f>Assumptions!$D$53</x:f>
        <x:v>0</x:v>
      </x:c>
      <x:c r="E25" s="18">
        <x:f>Assumptions!$D$53</x:f>
        <x:v>0</x:v>
      </x:c>
      <x:c r="F25" s="18">
        <x:f>Assumptions!$D$53</x:f>
        <x:v>0</x:v>
      </x:c>
      <x:c r="G25" s="18">
        <x:f>Assumptions!$D$53</x:f>
        <x:v>0</x:v>
      </x:c>
    </x:row>
    <x:row r="26">
      <x:c r="B26" s="10" t="inlineStr">
        <x:is>
          <x:t xml:space="preserve">Proposed annual debt service</x:t>
        </x:is>
      </x:c>
      <x:c r="C26" s="18">
        <x:f>IF(C$2&lt;=Assumptions!$D$56,C32*12,0)</x:f>
        <x:v>18248.75485957247</x:v>
      </x:c>
      <x:c r="D26" s="18">
        <x:f>IF(D$2&lt;=Assumptions!$D$56,D32*12,0)</x:f>
        <x:v>18248.75485957247</x:v>
      </x:c>
      <x:c r="E26" s="18">
        <x:f>IF(E$2&lt;=Assumptions!$D$56,E32*12,0)</x:f>
        <x:v>18248.75485957247</x:v>
      </x:c>
      <x:c r="F26" s="18">
        <x:f>IF(F$2&lt;=Assumptions!$D$56,F32*12,0)</x:f>
        <x:v>18248.75485957247</x:v>
      </x:c>
      <x:c r="G26" s="18">
        <x:f>IF(G$2&lt;=Assumptions!$D$56,G32*12,0)</x:f>
        <x:v>18248.75485957247</x:v>
      </x:c>
    </x:row>
    <x:row r="27">
      <x:c r="B27" s="10" t="inlineStr">
        <x:is>
          <x:t xml:space="preserve">Total annual debt service</x:t>
        </x:is>
      </x:c>
      <x:c r="C27" s="18">
        <x:f>C25+C26</x:f>
        <x:v>18248.75485957247</x:v>
      </x:c>
      <x:c r="D27" s="18">
        <x:f>D25+D26</x:f>
        <x:v>18248.75485957247</x:v>
      </x:c>
      <x:c r="E27" s="18">
        <x:f>E25+E26</x:f>
        <x:v>18248.75485957247</x:v>
      </x:c>
      <x:c r="F27" s="18">
        <x:f>F25+F26</x:f>
        <x:v>18248.75485957247</x:v>
      </x:c>
      <x:c r="G27" s="18">
        <x:f>G25+G26</x:f>
        <x:v>18248.75485957247</x:v>
      </x:c>
    </x:row>
    <x:row r="28"/>
    <x:row r="29">
      <x:c r="A29" s="16" t="inlineStr">
        <x:is>
          <x:t xml:space="preserve">Loan helpers</x:t>
        </x:is>
      </x:c>
      <x:c r="B29" s="9" t="n"/>
      <x:c r="C29" s="9" t="n"/>
      <x:c r="D29" s="9" t="n"/>
      <x:c r="E29" s="9" t="n"/>
      <x:c r="F29" s="9" t="n"/>
      <x:c r="G29" s="9" t="n"/>
    </x:row>
    <x:row r="30">
      <x:c r="B30" s="10" t="inlineStr">
        <x:is>
          <x:t xml:space="preserve">Loan monthly interest</x:t>
        </x:is>
      </x:c>
      <x:c r="C30" s="19">
        <x:f>Assumptions!$D$55/12</x:f>
        <x:v>0.006666666666666667</x:v>
      </x:c>
      <x:c r="D30" s="19">
        <x:f>Assumptions!$D$55/12</x:f>
        <x:v>0.006666666666666667</x:v>
      </x:c>
      <x:c r="E30" s="19">
        <x:f>Assumptions!$D$55/12</x:f>
        <x:v>0.006666666666666667</x:v>
      </x:c>
      <x:c r="F30" s="19">
        <x:f>Assumptions!$D$55/12</x:f>
        <x:v>0.006666666666666667</x:v>
      </x:c>
      <x:c r="G30" s="19">
        <x:f>Assumptions!$D$55/12</x:f>
        <x:v>0.006666666666666667</x:v>
      </x:c>
    </x:row>
    <x:row r="31">
      <x:c r="B31" s="10" t="inlineStr">
        <x:is>
          <x:t xml:space="preserve">Loan total payment months</x:t>
        </x:is>
      </x:c>
      <x:c r="C31" s="17">
        <x:f>Assumptions!$D$56*12</x:f>
        <x:v>60</x:v>
      </x:c>
      <x:c r="D31" s="17">
        <x:f>Assumptions!$D$56*12</x:f>
        <x:v>60</x:v>
      </x:c>
      <x:c r="E31" s="17">
        <x:f>Assumptions!$D$56*12</x:f>
        <x:v>60</x:v>
      </x:c>
      <x:c r="F31" s="17">
        <x:f>Assumptions!$D$56*12</x:f>
        <x:v>60</x:v>
      </x:c>
      <x:c r="G31" s="17">
        <x:f>Assumptions!$D$56*12</x:f>
        <x:v>60</x:v>
      </x:c>
    </x:row>
    <x:row r="32">
      <x:c r="B32" s="10" t="inlineStr">
        <x:is>
          <x:t xml:space="preserve">Proposed monthly payment</x:t>
        </x:is>
      </x:c>
      <x:c r="C32" s="18">
        <x:f>IF(C31=0,0,IF(C30=0,Assumptions!$D$54/C31,(Assumptions!$D$54*C30)/(1-(1+C30)^(-C31))))</x:f>
        <x:v>1520.729571631039</x:v>
      </x:c>
      <x:c r="D32" s="18">
        <x:f>IF(D31=0,0,IF(D30=0,Assumptions!$D$54/D31,(Assumptions!$D$54*D30)/(1-(1+D30)^(-D31))))</x:f>
        <x:v>1520.729571631039</x:v>
      </x:c>
      <x:c r="E32" s="18">
        <x:f>IF(E31=0,0,IF(E30=0,Assumptions!$D$54/E31,(Assumptions!$D$54*E30)/(1-(1+E30)^(-E31))))</x:f>
        <x:v>1520.729571631039</x:v>
      </x:c>
      <x:c r="F32" s="18">
        <x:f>IF(F31=0,0,IF(F30=0,Assumptions!$D$54/F31,(Assumptions!$D$54*F30)/(1-(1+F30)^(-F31))))</x:f>
        <x:v>1520.729571631039</x:v>
      </x:c>
      <x:c r="G32" s="18">
        <x:f>IF(G31=0,0,IF(G30=0,Assumptions!$D$54/G31,(Assumptions!$D$54*G30)/(1-(1+G30)^(-G31))))</x:f>
        <x:v>1520.729571631039</x:v>
      </x:c>
    </x:row>
    <x:row r="33">
      <x:c r="B33" s="10" t="inlineStr">
        <x:is>
          <x:t xml:space="preserve">Net recurring revenue / student</x:t>
        </x:is>
      </x:c>
      <x:c r="C33" s="18">
        <x:f>IF(C7=0,0,(C12+C13+C14)/C7)</x:f>
        <x:v>11875</x:v>
      </x:c>
      <x:c r="D33" s="18">
        <x:f>IF(D7=0,0,(D12+D13+D14)/D7)</x:f>
        <x:v>12226.5</x:v>
      </x:c>
      <x:c r="E33" s="18">
        <x:f>IF(E7=0,0,(E12+E13+E14)/E7)</x:f>
        <x:v>12588.449999999999</x:v>
      </x:c>
      <x:c r="F33" s="18">
        <x:f>IF(F7=0,0,(F12+F13+F14)/F7)</x:f>
        <x:v>12961.161600000001</x:v>
      </x:c>
      <x:c r="G33" s="18">
        <x:f>IF(G7=0,0,(G12+G13+G14)/G7)</x:f>
        <x:v>13344.955710000002</x:v>
      </x:c>
    </x:row>
    <x:row r="34">
      <x:c r="B34" s="10" t="inlineStr">
        <x:is>
          <x:t xml:space="preserve">Contribution margin / student</x:t>
        </x:is>
      </x:c>
      <x:c r="C34" s="18">
        <x:f>C33-C23</x:f>
        <x:v>10075</x:v>
      </x:c>
      <x:c r="D34" s="18">
        <x:f>D33-D23</x:f>
        <x:v>10372.5</x:v>
      </x:c>
      <x:c r="E34" s="18">
        <x:f>E33-E23</x:f>
        <x:v>10678.829999999998</x:v>
      </x:c>
      <x:c r="F34" s="18">
        <x:f>F33-F23</x:f>
        <x:v>10994.253</x:v>
      </x:c>
      <x:c r="G34" s="18">
        <x:f>G33-G23</x:f>
        <x:v>11319.039852000002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3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</x:cols>
  <x:sheetData>
    <x:row r="1">
      <x:c r="A1" s="1" t="inlineStr">
        <x:is>
          <x:t xml:space="preserve">Staffing</x:t>
        </x:is>
      </x:c>
    </x:row>
    <x:row r="2">
      <x:c r="A2" t="inlineStr">
        <x:is>
          <x:t xml:space="preserve"/>
        </x:is>
      </x:c>
      <x:c r="B2" t="inlineStr">
        <x:is>
          <x:t xml:space="preserve"/>
        </x:is>
      </x:c>
      <x:c r="C2" s="8">
        <x:f>Drivers!C2</x:f>
        <x:v>1</x:v>
      </x:c>
      <x:c r="D2" s="8">
        <x:f>Drivers!D2</x:f>
        <x:v>2</x:v>
      </x:c>
      <x:c r="E2" s="8">
        <x:f>Drivers!E2</x:f>
        <x:v>3</x:v>
      </x:c>
      <x:c r="F2" s="8">
        <x:f>Drivers!F2</x:f>
        <x:v>4</x:v>
      </x:c>
      <x:c r="G2" s="8">
        <x:f>Drivers!G2</x:f>
        <x:v>5</x:v>
      </x:c>
    </x:row>
    <x:row r="3">
      <x:c r="A3" t="inlineStr">
        <x:is>
          <x:t xml:space="preserve"/>
        </x:is>
      </x:c>
      <x:c r="B3" t="inlineStr">
        <x:is>
          <x:t xml:space="preserve"/>
        </x:is>
      </x:c>
      <x:c r="C3" s="15">
        <x:f>Drivers!C3</x:f>
        <x:v>2026</x:v>
      </x:c>
      <x:c r="D3" s="15">
        <x:f>Drivers!D3</x:f>
        <x:v>2027</x:v>
      </x:c>
      <x:c r="E3" s="15">
        <x:f>Drivers!E3</x:f>
        <x:v>2028</x:v>
      </x:c>
      <x:c r="F3" s="15">
        <x:f>Drivers!F3</x:f>
        <x:v>2029</x:v>
      </x:c>
      <x:c r="G3" s="15">
        <x:f>Drivers!G3</x:f>
        <x:v>2030</x:v>
      </x:c>
    </x:row>
    <x:row r="4"/>
    <x:row r="5"/>
    <x:row r="6">
      <x:c r="A6" s="16" t="inlineStr">
        <x:is>
          <x:t xml:space="preserve">Staffing plan</x:t>
        </x:is>
      </x:c>
      <x:c r="B6" s="9" t="n"/>
      <x:c r="C6" s="9" t="n"/>
      <x:c r="D6" s="9" t="n"/>
      <x:c r="E6" s="9" t="n"/>
      <x:c r="F6" s="9" t="n"/>
      <x:c r="G6" s="9" t="n"/>
    </x:row>
    <x:row r="7">
      <x:c r="B7" s="10" t="inlineStr">
        <x:is>
          <x:t xml:space="preserve">Enrollment</x:t>
        </x:is>
      </x:c>
      <x:c r="C7" s="17">
        <x:f>Drivers!C7</x:f>
        <x:v>24</x:v>
      </x:c>
      <x:c r="D7" s="17">
        <x:f>Drivers!D7</x:f>
        <x:v>36</x:v>
      </x:c>
      <x:c r="E7" s="17">
        <x:f>Drivers!E7</x:f>
        <x:v>48</x:v>
      </x:c>
      <x:c r="F7" s="17">
        <x:f>Drivers!F7</x:f>
        <x:v>60</x:v>
      </x:c>
      <x:c r="G7" s="17">
        <x:f>Drivers!G7</x:f>
        <x:v>72</x:v>
      </x:c>
    </x:row>
    <x:row r="8">
      <x:c r="B8" s="10" t="inlineStr">
        <x:is>
          <x:t xml:space="preserve">Students / teacher</x:t>
        </x:is>
      </x:c>
      <x:c r="C8" s="17">
        <x:f>Assumptions!$D$29</x:f>
        <x:v>12</x:v>
      </x:c>
      <x:c r="D8" s="17">
        <x:f>Assumptions!$D$29</x:f>
        <x:v>12</x:v>
      </x:c>
      <x:c r="E8" s="17">
        <x:f>Assumptions!$D$29</x:f>
        <x:v>12</x:v>
      </x:c>
      <x:c r="F8" s="17">
        <x:f>Assumptions!$D$29</x:f>
        <x:v>12</x:v>
      </x:c>
      <x:c r="G8" s="17">
        <x:f>Assumptions!$D$29</x:f>
        <x:v>12</x:v>
      </x:c>
    </x:row>
    <x:row r="9">
      <x:c r="B9" s="10" t="inlineStr">
        <x:is>
          <x:t xml:space="preserve">Teacher FTE</x:t>
        </x:is>
      </x:c>
      <x:c r="C9" s="17">
        <x:f>IF(C8=0,0,ROUNDUP(C7/C8,0))</x:f>
        <x:v>2</x:v>
      </x:c>
      <x:c r="D9" s="17">
        <x:f>IF(D8=0,0,ROUNDUP(D7/D8,0))</x:f>
        <x:v>3</x:v>
      </x:c>
      <x:c r="E9" s="17">
        <x:f>IF(E8=0,0,ROUNDUP(E7/E8,0))</x:f>
        <x:v>4</x:v>
      </x:c>
      <x:c r="F9" s="17">
        <x:f>IF(F8=0,0,ROUNDUP(F7/F8,0))</x:f>
        <x:v>5</x:v>
      </x:c>
      <x:c r="G9" s="17">
        <x:f>IF(G8=0,0,ROUNDUP(G7/G8,0))</x:f>
        <x:v>6</x:v>
      </x:c>
    </x:row>
    <x:row r="10">
      <x:c r="B10" s="10" t="inlineStr">
        <x:is>
          <x:t xml:space="preserve">Admin / support FTE</x:t>
        </x:is>
      </x:c>
      <x:c r="C10" s="17">
        <x:f>Assumptions!$D$32</x:f>
        <x:v>1</x:v>
      </x:c>
      <x:c r="D10" s="17">
        <x:f>Assumptions!$D$33</x:f>
        <x:v>1</x:v>
      </x:c>
      <x:c r="E10" s="17">
        <x:f>Assumptions!$D$34</x:f>
        <x:v>1.5</x:v>
      </x:c>
      <x:c r="F10" s="17">
        <x:f>Assumptions!$D$35</x:f>
        <x:v>2</x:v>
      </x:c>
      <x:c r="G10" s="17">
        <x:f>Assumptions!$D$36</x:f>
        <x:v>2</x:v>
      </x:c>
    </x:row>
    <x:row r="11">
      <x:c r="B11" s="10" t="inlineStr">
        <x:is>
          <x:t xml:space="preserve">Total FTE</x:t>
        </x:is>
      </x:c>
      <x:c r="C11" s="17">
        <x:f>SUM(C9:C10)</x:f>
        <x:v>3</x:v>
      </x:c>
      <x:c r="D11" s="17">
        <x:f>SUM(D9:D10)</x:f>
        <x:v>4</x:v>
      </x:c>
      <x:c r="E11" s="17">
        <x:f>SUM(E9:E10)</x:f>
        <x:v>5.5</x:v>
      </x:c>
      <x:c r="F11" s="17">
        <x:f>SUM(F9:F10)</x:f>
        <x:v>7</x:v>
      </x:c>
      <x:c r="G11" s="17">
        <x:f>SUM(G9:G10)</x:f>
        <x:v>8</x:v>
      </x:c>
    </x:row>
    <x:row r="12"/>
    <x:row r="13">
      <x:c r="A13" s="16" t="inlineStr">
        <x:is>
          <x:t xml:space="preserve">Compensation</x:t>
        </x:is>
      </x:c>
      <x:c r="B13" s="9" t="n"/>
      <x:c r="C13" s="9" t="n"/>
      <x:c r="D13" s="9" t="n"/>
      <x:c r="E13" s="9" t="n"/>
      <x:c r="F13" s="9" t="n"/>
      <x:c r="G13" s="9" t="n"/>
    </x:row>
    <x:row r="14">
      <x:c r="B14" s="10" t="inlineStr">
        <x:is>
          <x:t xml:space="preserve">Teacher salary / FTE</x:t>
        </x:is>
      </x:c>
      <x:c r="C14" s="18">
        <x:f>Drivers!C19</x:f>
        <x:v>55000</x:v>
      </x:c>
      <x:c r="D14" s="18">
        <x:f>Drivers!D19</x:f>
        <x:v>56650</x:v>
      </x:c>
      <x:c r="E14" s="18">
        <x:f>Drivers!E19</x:f>
        <x:v>58349.5</x:v>
      </x:c>
      <x:c r="F14" s="18">
        <x:f>Drivers!F19</x:f>
        <x:v>60099.985</x:v>
      </x:c>
      <x:c r="G14" s="18">
        <x:f>Drivers!G19</x:f>
        <x:v>61902.98455</x:v>
      </x:c>
    </x:row>
    <x:row r="15">
      <x:c r="B15" s="10" t="inlineStr">
        <x:is>
          <x:t xml:space="preserve">Admin salary / FTE</x:t>
        </x:is>
      </x:c>
      <x:c r="C15" s="18">
        <x:f>Drivers!C20</x:f>
        <x:v>65000</x:v>
      </x:c>
      <x:c r="D15" s="18">
        <x:f>Drivers!D20</x:f>
        <x:v>66950</x:v>
      </x:c>
      <x:c r="E15" s="18">
        <x:f>Drivers!E20</x:f>
        <x:v>68958.5</x:v>
      </x:c>
      <x:c r="F15" s="18">
        <x:f>Drivers!F20</x:f>
        <x:v>71027.255</x:v>
      </x:c>
      <x:c r="G15" s="18">
        <x:f>Drivers!G20</x:f>
        <x:v>73158.07265</x:v>
      </x:c>
    </x:row>
    <x:row r="16">
      <x:c r="B16" s="10" t="inlineStr">
        <x:is>
          <x:t xml:space="preserve">Teacher payroll</x:t>
        </x:is>
      </x:c>
      <x:c r="C16" s="18">
        <x:f>C9*C14</x:f>
        <x:v>110000</x:v>
      </x:c>
      <x:c r="D16" s="18">
        <x:f>D9*D14</x:f>
        <x:v>169950</x:v>
      </x:c>
      <x:c r="E16" s="18">
        <x:f>E9*E14</x:f>
        <x:v>233398</x:v>
      </x:c>
      <x:c r="F16" s="18">
        <x:f>F9*F14</x:f>
        <x:v>300499.925</x:v>
      </x:c>
      <x:c r="G16" s="18">
        <x:f>G9*G14</x:f>
        <x:v>371417.9073</x:v>
      </x:c>
    </x:row>
    <x:row r="17">
      <x:c r="B17" s="10" t="inlineStr">
        <x:is>
          <x:t xml:space="preserve">Admin payroll</x:t>
        </x:is>
      </x:c>
      <x:c r="C17" s="18">
        <x:f>C10*C15</x:f>
        <x:v>65000</x:v>
      </x:c>
      <x:c r="D17" s="18">
        <x:f>D10*D15</x:f>
        <x:v>66950</x:v>
      </x:c>
      <x:c r="E17" s="18">
        <x:f>E10*E15</x:f>
        <x:v>103437.75</x:v>
      </x:c>
      <x:c r="F17" s="18">
        <x:f>F10*F15</x:f>
        <x:v>142054.51</x:v>
      </x:c>
      <x:c r="G17" s="18">
        <x:f>G10*G15</x:f>
        <x:v>146316.1453</x:v>
      </x:c>
    </x:row>
    <x:row r="18">
      <x:c r="B18" s="10" t="inlineStr">
        <x:is>
          <x:t xml:space="preserve">Total cash payroll</x:t>
        </x:is>
      </x:c>
      <x:c r="C18" s="18">
        <x:f>SUM(C16:C17)</x:f>
        <x:v>175000</x:v>
      </x:c>
      <x:c r="D18" s="18">
        <x:f>SUM(D16:D17)</x:f>
        <x:v>236900</x:v>
      </x:c>
      <x:c r="E18" s="18">
        <x:f>SUM(E16:E17)</x:f>
        <x:v>336835.75</x:v>
      </x:c>
      <x:c r="F18" s="18">
        <x:f>SUM(F16:F17)</x:f>
        <x:v>442554.435</x:v>
      </x:c>
      <x:c r="G18" s="18">
        <x:f>SUM(G16:G17)</x:f>
        <x:v>517734.05260000005</x:v>
      </x:c>
    </x:row>
    <x:row r="19">
      <x:c r="B19" s="10" t="inlineStr">
        <x:is>
          <x:t xml:space="preserve">Benefits + payroll burden</x:t>
        </x:is>
      </x:c>
      <x:c r="C19" s="19">
        <x:f>Assumptions!$D$39</x:f>
        <x:v>0.1</x:v>
      </x:c>
      <x:c r="D19" s="19">
        <x:f>Assumptions!$D$39</x:f>
        <x:v>0.1</x:v>
      </x:c>
      <x:c r="E19" s="19">
        <x:f>Assumptions!$D$39</x:f>
        <x:v>0.1</x:v>
      </x:c>
      <x:c r="F19" s="19">
        <x:f>Assumptions!$D$39</x:f>
        <x:v>0.1</x:v>
      </x:c>
      <x:c r="G19" s="19">
        <x:f>Assumptions!$D$39</x:f>
        <x:v>0.1</x:v>
      </x:c>
    </x:row>
    <x:row r="20">
      <x:c r="B20" s="10" t="inlineStr">
        <x:is>
          <x:t xml:space="preserve">Benefits + payroll burden $</x:t>
        </x:is>
      </x:c>
      <x:c r="C20" s="18">
        <x:f>C18*C19</x:f>
        <x:v>17500</x:v>
      </x:c>
      <x:c r="D20" s="18">
        <x:f>D18*D19</x:f>
        <x:v>23690</x:v>
      </x:c>
      <x:c r="E20" s="18">
        <x:f>E18*E19</x:f>
        <x:v>33683.575000000004</x:v>
      </x:c>
      <x:c r="F20" s="18">
        <x:f>F18*F19</x:f>
        <x:v>44255.4435</x:v>
      </x:c>
      <x:c r="G20" s="18">
        <x:f>G18*G19</x:f>
        <x:v>51773.40526000001</x:v>
      </x:c>
    </x:row>
    <x:row r="21">
      <x:c r="B21" s="10" t="inlineStr">
        <x:is>
          <x:t xml:space="preserve">Total people cost</x:t>
        </x:is>
      </x:c>
      <x:c r="C21" s="18">
        <x:f>C18+C20</x:f>
        <x:v>192500</x:v>
      </x:c>
      <x:c r="D21" s="18">
        <x:f>D18+D20</x:f>
        <x:v>260590</x:v>
      </x:c>
      <x:c r="E21" s="18">
        <x:f>E18+E20</x:f>
        <x:v>370519.325</x:v>
      </x:c>
      <x:c r="F21" s="18">
        <x:f>F18+F20</x:f>
        <x:v>486809.8785</x:v>
      </x:c>
      <x:c r="G21" s="18">
        <x:f>G18+G20</x:f>
        <x:v>569507.4578600001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36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</x:cols>
  <x:sheetData>
    <x:row r="1">
      <x:c r="A1" s="1" t="inlineStr">
        <x:is>
          <x:t xml:space="preserve">5-Year P&amp;L</x:t>
        </x:is>
      </x:c>
    </x:row>
    <x:row r="2">
      <x:c r="A2" t="inlineStr">
        <x:is>
          <x:t xml:space="preserve"/>
        </x:is>
      </x:c>
      <x:c r="B2" t="inlineStr">
        <x:is>
          <x:t xml:space="preserve"/>
        </x:is>
      </x:c>
      <x:c r="C2" s="8">
        <x:f>Drivers!C2</x:f>
        <x:v>1</x:v>
      </x:c>
      <x:c r="D2" s="8">
        <x:f>Drivers!D2</x:f>
        <x:v>2</x:v>
      </x:c>
      <x:c r="E2" s="8">
        <x:f>Drivers!E2</x:f>
        <x:v>3</x:v>
      </x:c>
      <x:c r="F2" s="8">
        <x:f>Drivers!F2</x:f>
        <x:v>4</x:v>
      </x:c>
      <x:c r="G2" s="8">
        <x:f>Drivers!G2</x:f>
        <x:v>5</x:v>
      </x:c>
    </x:row>
    <x:row r="3">
      <x:c r="A3" t="inlineStr">
        <x:is>
          <x:t xml:space="preserve"/>
        </x:is>
      </x:c>
      <x:c r="B3" t="inlineStr">
        <x:is>
          <x:t xml:space="preserve"/>
        </x:is>
      </x:c>
      <x:c r="C3" s="15">
        <x:f>Drivers!C3</x:f>
        <x:v>2026</x:v>
      </x:c>
      <x:c r="D3" s="15">
        <x:f>Drivers!D3</x:f>
        <x:v>2027</x:v>
      </x:c>
      <x:c r="E3" s="15">
        <x:f>Drivers!E3</x:f>
        <x:v>2028</x:v>
      </x:c>
      <x:c r="F3" s="15">
        <x:f>Drivers!F3</x:f>
        <x:v>2029</x:v>
      </x:c>
      <x:c r="G3" s="15">
        <x:f>Drivers!G3</x:f>
        <x:v>2030</x:v>
      </x:c>
    </x:row>
    <x:row r="4"/>
    <x:row r="5"/>
    <x:row r="6">
      <x:c r="A6" s="16" t="inlineStr">
        <x:is>
          <x:t xml:space="preserve">Revenue</x:t>
        </x:is>
      </x:c>
      <x:c r="B6" s="9" t="n"/>
      <x:c r="C6" s="9" t="n"/>
      <x:c r="D6" s="9" t="n"/>
      <x:c r="E6" s="9" t="n"/>
      <x:c r="F6" s="9" t="n"/>
      <x:c r="G6" s="9" t="n"/>
    </x:row>
    <x:row r="7">
      <x:c r="B7" s="10" t="inlineStr">
        <x:is>
          <x:t xml:space="preserve">Net tuition &amp; fees</x:t>
        </x:is>
      </x:c>
      <x:c r="C7" s="18">
        <x:f>Drivers!C12</x:f>
        <x:v>273600</x:v>
      </x:c>
      <x:c r="D7" s="18">
        <x:f>Drivers!D12</x:f>
        <x:v>422712</x:v>
      </x:c>
      <x:c r="E7" s="18">
        <x:f>Drivers!E12</x:f>
        <x:v>580524.48</x:v>
      </x:c>
      <x:c r="F7" s="18">
        <x:f>Drivers!F12</x:f>
        <x:v>747425.2680000002</x:v>
      </x:c>
      <x:c r="G7" s="18">
        <x:f>Drivers!G12</x:f>
        <x:v>923817.6312480002</x:v>
      </x:c>
    </x:row>
    <x:row r="8">
      <x:c r="B8" s="10" t="inlineStr">
        <x:is>
          <x:t xml:space="preserve">ESA / public funding</x:t>
        </x:is>
      </x:c>
      <x:c r="C8" s="18">
        <x:f>Drivers!C13</x:f>
        <x:v>0</x:v>
      </x:c>
      <x:c r="D8" s="18">
        <x:f>Drivers!D13</x:f>
        <x:v>0</x:v>
      </x:c>
      <x:c r="E8" s="18">
        <x:f>Drivers!E13</x:f>
        <x:v>0</x:v>
      </x:c>
      <x:c r="F8" s="18">
        <x:f>Drivers!F13</x:f>
        <x:v>0</x:v>
      </x:c>
      <x:c r="G8" s="18">
        <x:f>Drivers!G13</x:f>
        <x:v>0</x:v>
      </x:c>
    </x:row>
    <x:row r="9">
      <x:c r="B9" s="10" t="inlineStr">
        <x:is>
          <x:t xml:space="preserve">Other earned revenue</x:t>
        </x:is>
      </x:c>
      <x:c r="C9" s="18">
        <x:f>Drivers!C14</x:f>
        <x:v>11400</x:v>
      </x:c>
      <x:c r="D9" s="18">
        <x:f>Drivers!D14</x:f>
        <x:v>17442</x:v>
      </x:c>
      <x:c r="E9" s="18">
        <x:f>Drivers!E14</x:f>
        <x:v>23721.120000000003</x:v>
      </x:c>
      <x:c r="F9" s="18">
        <x:f>Drivers!F14</x:f>
        <x:v>30244.428</x:v>
      </x:c>
      <x:c r="G9" s="18">
        <x:f>Drivers!G14</x:f>
        <x:v>37019.179872</x:v>
      </x:c>
    </x:row>
    <x:row r="10">
      <x:c r="B10" s="10" t="inlineStr">
        <x:is>
          <x:t xml:space="preserve">Grants / donations</x:t>
        </x:is>
      </x:c>
      <x:c r="C10" s="18">
        <x:f>Drivers!C15</x:f>
        <x:v>25000</x:v>
      </x:c>
      <x:c r="D10" s="18">
        <x:f>Drivers!D15</x:f>
        <x:v>25000</x:v>
      </x:c>
      <x:c r="E10" s="18">
        <x:f>Drivers!E15</x:f>
        <x:v>25000</x:v>
      </x:c>
      <x:c r="F10" s="18">
        <x:f>Drivers!F15</x:f>
        <x:v>25000</x:v>
      </x:c>
      <x:c r="G10" s="18">
        <x:f>Drivers!G15</x:f>
        <x:v>25000</x:v>
      </x:c>
    </x:row>
    <x:row r="11">
      <x:c r="B11" s="10" t="inlineStr">
        <x:is>
          <x:t xml:space="preserve">Total revenue</x:t>
        </x:is>
      </x:c>
      <x:c r="C11" s="18">
        <x:f>SUM(C7:C10)</x:f>
        <x:v>310000</x:v>
      </x:c>
      <x:c r="D11" s="18">
        <x:f>SUM(D7:D10)</x:f>
        <x:v>465154</x:v>
      </x:c>
      <x:c r="E11" s="18">
        <x:f>SUM(E7:E10)</x:f>
        <x:v>629245.6</x:v>
      </x:c>
      <x:c r="F11" s="18">
        <x:f>SUM(F7:F10)</x:f>
        <x:v>802669.6960000001</x:v>
      </x:c>
      <x:c r="G11" s="18">
        <x:f>SUM(G7:G10)</x:f>
        <x:v>985836.8111200002</x:v>
      </x:c>
    </x:row>
    <x:row r="12"/>
    <x:row r="13">
      <x:c r="A13" s="16" t="inlineStr">
        <x:is>
          <x:t xml:space="preserve">Operating expenses</x:t>
        </x:is>
      </x:c>
      <x:c r="B13" s="9" t="n"/>
      <x:c r="C13" s="9" t="n"/>
      <x:c r="D13" s="9" t="n"/>
      <x:c r="E13" s="9" t="n"/>
      <x:c r="F13" s="9" t="n"/>
      <x:c r="G13" s="9" t="n"/>
    </x:row>
    <x:row r="14">
      <x:c r="B14" s="10" t="inlineStr">
        <x:is>
          <x:t xml:space="preserve">People cost</x:t>
        </x:is>
      </x:c>
      <x:c r="C14" s="18">
        <x:f>Staffing!C21</x:f>
        <x:v>192500</x:v>
      </x:c>
      <x:c r="D14" s="18">
        <x:f>Staffing!D21</x:f>
        <x:v>260590</x:v>
      </x:c>
      <x:c r="E14" s="18">
        <x:f>Staffing!E21</x:f>
        <x:v>370519.325</x:v>
      </x:c>
      <x:c r="F14" s="18">
        <x:f>Staffing!F21</x:f>
        <x:v>486809.8785</x:v>
      </x:c>
      <x:c r="G14" s="18">
        <x:f>Staffing!G21</x:f>
        <x:v>569507.4578600001</x:v>
      </x:c>
    </x:row>
    <x:row r="15">
      <x:c r="B15" s="10" t="inlineStr">
        <x:is>
          <x:t xml:space="preserve">Rent</x:t>
        </x:is>
      </x:c>
      <x:c r="C15" s="18">
        <x:f>Drivers!C21</x:f>
        <x:v>48000</x:v>
      </x:c>
      <x:c r="D15" s="18">
        <x:f>Drivers!D21</x:f>
        <x:v>49440</x:v>
      </x:c>
      <x:c r="E15" s="18">
        <x:f>Drivers!E21</x:f>
        <x:v>50923.200000000004</x:v>
      </x:c>
      <x:c r="F15" s="18">
        <x:f>Drivers!F21</x:f>
        <x:v>52450.89600000001</x:v>
      </x:c>
      <x:c r="G15" s="18">
        <x:f>Drivers!G21</x:f>
        <x:v>54024.42288000001</x:v>
      </x:c>
    </x:row>
    <x:row r="16">
      <x:c r="B16" s="10" t="inlineStr">
        <x:is>
          <x:t xml:space="preserve">Other facility cost</x:t>
        </x:is>
      </x:c>
      <x:c r="C16" s="18">
        <x:f>Drivers!C22</x:f>
        <x:v>12000</x:v>
      </x:c>
      <x:c r="D16" s="18">
        <x:f>Drivers!D22</x:f>
        <x:v>12360</x:v>
      </x:c>
      <x:c r="E16" s="18">
        <x:f>Drivers!E22</x:f>
        <x:v>12730.800000000001</x:v>
      </x:c>
      <x:c r="F16" s="18">
        <x:f>Drivers!F22</x:f>
        <x:v>13112.724000000002</x:v>
      </x:c>
      <x:c r="G16" s="18">
        <x:f>Drivers!G22</x:f>
        <x:v>13506.105720000003</x:v>
      </x:c>
    </x:row>
    <x:row r="17">
      <x:c r="B17" s="10" t="inlineStr">
        <x:is>
          <x:t xml:space="preserve">Program cost</x:t>
        </x:is>
      </x:c>
      <x:c r="C17" s="18">
        <x:f>Drivers!C23*Drivers!C7</x:f>
        <x:v>43200</x:v>
      </x:c>
      <x:c r="D17" s="18">
        <x:f>Drivers!D23*Drivers!D7</x:f>
        <x:v>66744</x:v>
      </x:c>
      <x:c r="E17" s="18">
        <x:f>Drivers!E23*Drivers!E7</x:f>
        <x:v>91661.76000000001</x:v>
      </x:c>
      <x:c r="F17" s="18">
        <x:f>Drivers!F23*Drivers!F7</x:f>
        <x:v>118014.51600000002</x:v>
      </x:c>
      <x:c r="G17" s="18">
        <x:f>Drivers!G23*Drivers!G7</x:f>
        <x:v>145865.94177600002</x:v>
      </x:c>
    </x:row>
    <x:row r="18">
      <x:c r="B18" s="10" t="inlineStr">
        <x:is>
          <x:t xml:space="preserve">Fixed operating cost</x:t>
        </x:is>
      </x:c>
      <x:c r="C18" s="18">
        <x:f>Drivers!C24</x:f>
        <x:v>30000</x:v>
      </x:c>
      <x:c r="D18" s="18">
        <x:f>Drivers!D24</x:f>
        <x:v>30900</x:v>
      </x:c>
      <x:c r="E18" s="18">
        <x:f>Drivers!E24</x:f>
        <x:v>31827</x:v>
      </x:c>
      <x:c r="F18" s="18">
        <x:f>Drivers!F24</x:f>
        <x:v>32781.81</x:v>
      </x:c>
      <x:c r="G18" s="18">
        <x:f>Drivers!G24</x:f>
        <x:v>33765.264299999995</x:v>
      </x:c>
    </x:row>
    <x:row r="19">
      <x:c r="B19" s="10" t="inlineStr">
        <x:is>
          <x:t xml:space="preserve">Total operating expenses</x:t>
        </x:is>
      </x:c>
      <x:c r="C19" s="18">
        <x:f>SUM(C14:C18)</x:f>
        <x:v>325700</x:v>
      </x:c>
      <x:c r="D19" s="18">
        <x:f>SUM(D14:D18)</x:f>
        <x:v>420034</x:v>
      </x:c>
      <x:c r="E19" s="18">
        <x:f>SUM(E14:E18)</x:f>
        <x:v>557662.085</x:v>
      </x:c>
      <x:c r="F19" s="18">
        <x:f>SUM(F14:F18)</x:f>
        <x:v>703169.8245000001</x:v>
      </x:c>
      <x:c r="G19" s="18">
        <x:f>SUM(G14:G18)</x:f>
        <x:v>816669.192536</x:v>
      </x:c>
    </x:row>
    <x:row r="20"/>
    <x:row r="21">
      <x:c r="B21" s="10" t="inlineStr">
        <x:is>
          <x:t xml:space="preserve">Cash flow before debt service (CFADS)</x:t>
        </x:is>
      </x:c>
      <x:c r="C21" s="18">
        <x:f>C11-C19</x:f>
        <x:v>-15700</x:v>
      </x:c>
      <x:c r="D21" s="18">
        <x:f>D11-D19</x:f>
        <x:v>45120</x:v>
      </x:c>
      <x:c r="E21" s="18">
        <x:f>E11-E19</x:f>
        <x:v>71583.51500000001</x:v>
      </x:c>
      <x:c r="F21" s="18">
        <x:f>F11-F19</x:f>
        <x:v>99499.87150000001</x:v>
      </x:c>
      <x:c r="G21" s="18">
        <x:f>G11-G19</x:f>
        <x:v>169167.61858400016</x:v>
      </x:c>
    </x:row>
    <x:row r="22">
      <x:c r="B22" s="10" t="inlineStr">
        <x:is>
          <x:t xml:space="preserve">Debt service</x:t>
        </x:is>
      </x:c>
      <x:c r="C22" s="18">
        <x:f>Drivers!C27</x:f>
        <x:v>18248.75485957247</x:v>
      </x:c>
      <x:c r="D22" s="18">
        <x:f>Drivers!D27</x:f>
        <x:v>18248.75485957247</x:v>
      </x:c>
      <x:c r="E22" s="18">
        <x:f>Drivers!E27</x:f>
        <x:v>18248.75485957247</x:v>
      </x:c>
      <x:c r="F22" s="18">
        <x:f>Drivers!F27</x:f>
        <x:v>18248.75485957247</x:v>
      </x:c>
      <x:c r="G22" s="18">
        <x:f>Drivers!G27</x:f>
        <x:v>18248.75485957247</x:v>
      </x:c>
    </x:row>
    <x:row r="23">
      <x:c r="B23" s="10" t="inlineStr">
        <x:is>
          <x:t xml:space="preserve">Net income / (loss)</x:t>
        </x:is>
      </x:c>
      <x:c r="C23" s="18">
        <x:f>C21-C22</x:f>
        <x:v>-33948.754859572466</x:v>
      </x:c>
      <x:c r="D23" s="18">
        <x:f>D21-D22</x:f>
        <x:v>26871.24514042753</x:v>
      </x:c>
      <x:c r="E23" s="18">
        <x:f>E21-E22</x:f>
        <x:v>53334.76014042755</x:v>
      </x:c>
      <x:c r="F23" s="18">
        <x:f>F21-F22</x:f>
        <x:v>81251.11664042754</x:v>
      </x:c>
      <x:c r="G23" s="18">
        <x:f>G21-G22</x:f>
        <x:v>150918.86372442768</x:v>
      </x:c>
    </x:row>
    <x:row r="24"/>
    <x:row r="25">
      <x:c r="B25" s="10" t="inlineStr">
        <x:is>
          <x:t xml:space="preserve">Operating margin</x:t>
        </x:is>
      </x:c>
      <x:c r="C25" s="19">
        <x:f>IF(C11=0,0,C21/C11)</x:f>
        <x:v>-0.05064516129032258</x:v>
      </x:c>
      <x:c r="D25" s="19">
        <x:f>IF(D11=0,0,D21/D11)</x:f>
        <x:v>0.09700013328919024</x:v>
      </x:c>
      <x:c r="E25" s="19">
        <x:f>IF(E11=0,0,E21/E11)</x:f>
        <x:v>0.11376085108898658</x:v>
      </x:c>
      <x:c r="F25" s="19">
        <x:f>IF(F11=0,0,F21/F11)</x:f>
        <x:v>0.12396116608842299</x:v>
      </x:c>
      <x:c r="G25" s="19">
        <x:f>IF(G11=0,0,G21/G11)</x:f>
        <x:v>0.17159799337560785</x:v>
      </x:c>
    </x:row>
    <x:row r="26">
      <x:c r="B26" s="10" t="inlineStr">
        <x:is>
          <x:t xml:space="preserve">Net margin</x:t>
        </x:is>
      </x:c>
      <x:c r="C26" s="19">
        <x:f>IF(C11=0,0,C23/C11)</x:f>
        <x:v>-0.10951211245023376</x:v>
      </x:c>
      <x:c r="D26" s="19">
        <x:f>IF(D11=0,0,D23/D11)</x:f>
        <x:v>0.05776849202721578</x:v>
      </x:c>
      <x:c r="E26" s="19">
        <x:f>IF(E11=0,0,E23/E11)</x:f>
        <x:v>0.08475984598132677</x:v>
      </x:c>
      <x:c r="F26" s="19">
        <x:f>IF(F11=0,0,F23/F11)</x:f>
        <x:v>0.10122609218378606</x:v>
      </x:c>
      <x:c r="G26" s="19">
        <x:f>IF(G11=0,0,G23/G11)</x:f>
        <x:v>0.15308706473738806</x:v>
      </x:c>
    </x:row>
    <x:row r="27"/>
    <x:row r="28">
      <x:c r="A28" s="16" t="inlineStr">
        <x:is>
          <x:t xml:space="preserve">Break-even support</x:t>
        </x:is>
      </x:c>
      <x:c r="B28" s="9" t="n"/>
      <x:c r="C28" s="9" t="n"/>
      <x:c r="D28" s="9" t="n"/>
      <x:c r="E28" s="9" t="n"/>
      <x:c r="F28" s="9" t="n"/>
      <x:c r="G28" s="9" t="n"/>
    </x:row>
    <x:row r="29">
      <x:c r="B29" s="10" t="inlineStr">
        <x:is>
          <x:t xml:space="preserve">Net recurring revenue / student</x:t>
        </x:is>
      </x:c>
      <x:c r="C29" s="18">
        <x:f>Drivers!C33</x:f>
        <x:v>11875</x:v>
      </x:c>
      <x:c r="D29" s="18">
        <x:f>Drivers!D33</x:f>
        <x:v>12226.5</x:v>
      </x:c>
      <x:c r="E29" s="18">
        <x:f>Drivers!E33</x:f>
        <x:v>12588.449999999999</x:v>
      </x:c>
      <x:c r="F29" s="18">
        <x:f>Drivers!F33</x:f>
        <x:v>12961.161600000001</x:v>
      </x:c>
      <x:c r="G29" s="18">
        <x:f>Drivers!G33</x:f>
        <x:v>13344.955710000002</x:v>
      </x:c>
    </x:row>
    <x:row r="30">
      <x:c r="B30" s="10" t="inlineStr">
        <x:is>
          <x:t xml:space="preserve">Contribution margin / student</x:t>
        </x:is>
      </x:c>
      <x:c r="C30" s="18">
        <x:f>Drivers!C34</x:f>
        <x:v>10075</x:v>
      </x:c>
      <x:c r="D30" s="18">
        <x:f>Drivers!D34</x:f>
        <x:v>10372.5</x:v>
      </x:c>
      <x:c r="E30" s="18">
        <x:f>Drivers!E34</x:f>
        <x:v>10678.829999999998</x:v>
      </x:c>
      <x:c r="F30" s="18">
        <x:f>Drivers!F34</x:f>
        <x:v>10994.253</x:v>
      </x:c>
      <x:c r="G30" s="18">
        <x:f>Drivers!G34</x:f>
        <x:v>11319.039852000002</x:v>
      </x:c>
    </x:row>
    <x:row r="31">
      <x:c r="B31" s="10" t="inlineStr">
        <x:is>
          <x:t xml:space="preserve">Fixed cash cost before grants</x:t>
        </x:is>
      </x:c>
      <x:c r="C31" s="18">
        <x:f>C14+C15+C16+C18+C22</x:f>
        <x:v>300748.75485957245</x:v>
      </x:c>
      <x:c r="D31" s="18">
        <x:f>D14+D15+D16+D18+D22</x:f>
        <x:v>371538.75485957245</x:v>
      </x:c>
      <x:c r="E31" s="18">
        <x:f>E14+E15+E16+E18+E22</x:f>
        <x:v>484249.07985957246</x:v>
      </x:c>
      <x:c r="F31" s="18">
        <x:f>F14+F15+F16+F18+F22</x:f>
        <x:v>603404.0633595726</x:v>
      </x:c>
      <x:c r="G31" s="18">
        <x:f>G14+G15+G16+G18+G22</x:f>
        <x:v>689052.0056195726</x:v>
      </x:c>
    </x:row>
    <x:row r="32">
      <x:c r="B32" s="10" t="inlineStr">
        <x:is>
          <x:t xml:space="preserve">Net fixed cost after grants</x:t>
        </x:is>
      </x:c>
      <x:c r="C32" s="18">
        <x:f>C31-C10</x:f>
        <x:v>275748.75485957245</x:v>
      </x:c>
      <x:c r="D32" s="18">
        <x:f>D31-D10</x:f>
        <x:v>346538.75485957245</x:v>
      </x:c>
      <x:c r="E32" s="18">
        <x:f>E31-E10</x:f>
        <x:v>459249.07985957246</x:v>
      </x:c>
      <x:c r="F32" s="18">
        <x:f>F31-F10</x:f>
        <x:v>578404.0633595726</x:v>
      </x:c>
      <x:c r="G32" s="18">
        <x:f>G31-G10</x:f>
        <x:v>664052.0056195726</x:v>
      </x:c>
    </x:row>
    <x:row r="33">
      <x:c r="B33" s="10" t="inlineStr">
        <x:is>
          <x:t xml:space="preserve">Break-even enrollment</x:t>
        </x:is>
      </x:c>
      <x:c r="C33" s="17">
        <x:f>IF(C30&lt;=0,"",IF(C32&lt;=0,0,ROUNDUP(C32/C30,0)))</x:f>
        <x:v>28</x:v>
      </x:c>
      <x:c r="D33" s="17">
        <x:f>IF(D30&lt;=0,"",IF(D32&lt;=0,0,ROUNDUP(D32/D30,0)))</x:f>
        <x:v>34</x:v>
      </x:c>
      <x:c r="E33" s="17">
        <x:f>IF(E30&lt;=0,"",IF(E32&lt;=0,0,ROUNDUP(E32/E30,0)))</x:f>
        <x:v>44</x:v>
      </x:c>
      <x:c r="F33" s="17">
        <x:f>IF(F30&lt;=0,"",IF(F32&lt;=0,0,ROUNDUP(F32/F30,0)))</x:f>
        <x:v>53</x:v>
      </x:c>
      <x:c r="G33" s="17">
        <x:f>IF(G30&lt;=0,"",IF(G32&lt;=0,0,ROUNDUP(G32/G30,0)))</x:f>
        <x:v>59</x:v>
      </x:c>
    </x:row>
    <x:row r="36">
      <x:c r="A36" s="20" t="inlineStr">
        <x:is>
          <x:t xml:space="preserve">SchoolStack Preview. This template is for planning and early underwriting conversations. Replace placeholders with real school data before submission.</x:t>
        </x:is>
      </x:c>
    </x:row>
  </x:sheetData>
  <x:mergeCells>
    <x:mergeCell ref="A36:G36"/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36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</x:cols>
  <x:sheetData>
    <x:row r="1">
      <x:c r="A1" s="1" t="inlineStr">
        <x:is>
          <x:t xml:space="preserve">Cash Flow &amp; DSCR</x:t>
        </x:is>
      </x:c>
    </x:row>
    <x:row r="2">
      <x:c r="A2" t="inlineStr">
        <x:is>
          <x:t xml:space="preserve"/>
        </x:is>
      </x:c>
      <x:c r="B2" t="inlineStr">
        <x:is>
          <x:t xml:space="preserve"/>
        </x:is>
      </x:c>
      <x:c r="C2" s="8">
        <x:f>Drivers!C2</x:f>
        <x:v>1</x:v>
      </x:c>
      <x:c r="D2" s="8">
        <x:f>Drivers!D2</x:f>
        <x:v>2</x:v>
      </x:c>
      <x:c r="E2" s="8">
        <x:f>Drivers!E2</x:f>
        <x:v>3</x:v>
      </x:c>
      <x:c r="F2" s="8">
        <x:f>Drivers!F2</x:f>
        <x:v>4</x:v>
      </x:c>
      <x:c r="G2" s="8">
        <x:f>Drivers!G2</x:f>
        <x:v>5</x:v>
      </x:c>
    </x:row>
    <x:row r="3">
      <x:c r="A3" t="inlineStr">
        <x:is>
          <x:t xml:space="preserve"/>
        </x:is>
      </x:c>
      <x:c r="B3" t="inlineStr">
        <x:is>
          <x:t xml:space="preserve"/>
        </x:is>
      </x:c>
      <x:c r="C3" s="15">
        <x:f>Drivers!C3</x:f>
        <x:v>2026</x:v>
      </x:c>
      <x:c r="D3" s="15">
        <x:f>Drivers!D3</x:f>
        <x:v>2027</x:v>
      </x:c>
      <x:c r="E3" s="15">
        <x:f>Drivers!E3</x:f>
        <x:v>2028</x:v>
      </x:c>
      <x:c r="F3" s="15">
        <x:f>Drivers!F3</x:f>
        <x:v>2029</x:v>
      </x:c>
      <x:c r="G3" s="15">
        <x:f>Drivers!G3</x:f>
        <x:v>2030</x:v>
      </x:c>
    </x:row>
    <x:row r="4"/>
    <x:row r="5"/>
    <x:row r="6">
      <x:c r="A6" s="16" t="inlineStr">
        <x:is>
          <x:t xml:space="preserve">Cash flow</x:t>
        </x:is>
      </x:c>
      <x:c r="B6" s="9" t="n"/>
      <x:c r="C6" s="9" t="n"/>
      <x:c r="D6" s="9" t="n"/>
      <x:c r="E6" s="9" t="n"/>
      <x:c r="F6" s="9" t="n"/>
      <x:c r="G6" s="9" t="n"/>
    </x:row>
    <x:row r="7">
      <x:c r="B7" s="10" t="inlineStr">
        <x:is>
          <x:t xml:space="preserve">Starting cash</x:t>
        </x:is>
      </x:c>
      <x:c r="C7" s="18">
        <x:f>Assumptions!$D$52</x:f>
        <x:v>50000</x:v>
      </x:c>
      <x:c r="D7" s="18">
        <x:f>C11</x:f>
        <x:v>16051.245140427534</x:v>
      </x:c>
      <x:c r="E7" s="18">
        <x:f>D11</x:f>
        <x:v>42922.49028085507</x:v>
      </x:c>
      <x:c r="F7" s="18">
        <x:f>E11</x:f>
        <x:v>96257.25042128262</x:v>
      </x:c>
      <x:c r="G7" s="18">
        <x:f>F11</x:f>
        <x:v>177508.36706171016</x:v>
      </x:c>
    </x:row>
    <x:row r="8">
      <x:c r="B8" s="10" t="inlineStr">
        <x:is>
          <x:t xml:space="preserve">CFADS</x:t>
        </x:is>
      </x:c>
      <x:c r="C8" s="18">
        <x:f>'5-Year P&amp;L'!C21</x:f>
        <x:v>-15700</x:v>
      </x:c>
      <x:c r="D8" s="18">
        <x:f>'5-Year P&amp;L'!D21</x:f>
        <x:v>45120</x:v>
      </x:c>
      <x:c r="E8" s="18">
        <x:f>'5-Year P&amp;L'!E21</x:f>
        <x:v>71583.51500000001</x:v>
      </x:c>
      <x:c r="F8" s="18">
        <x:f>'5-Year P&amp;L'!F21</x:f>
        <x:v>99499.87150000001</x:v>
      </x:c>
      <x:c r="G8" s="18">
        <x:f>'5-Year P&amp;L'!G21</x:f>
        <x:v>169167.61858400016</x:v>
      </x:c>
    </x:row>
    <x:row r="9">
      <x:c r="B9" s="10" t="inlineStr">
        <x:is>
          <x:t xml:space="preserve">Debt service</x:t>
        </x:is>
      </x:c>
      <x:c r="C9" s="18">
        <x:f>'5-Year P&amp;L'!C22</x:f>
        <x:v>18248.75485957247</x:v>
      </x:c>
      <x:c r="D9" s="18">
        <x:f>'5-Year P&amp;L'!D22</x:f>
        <x:v>18248.75485957247</x:v>
      </x:c>
      <x:c r="E9" s="18">
        <x:f>'5-Year P&amp;L'!E22</x:f>
        <x:v>18248.75485957247</x:v>
      </x:c>
      <x:c r="F9" s="18">
        <x:f>'5-Year P&amp;L'!F22</x:f>
        <x:v>18248.75485957247</x:v>
      </x:c>
      <x:c r="G9" s="18">
        <x:f>'5-Year P&amp;L'!G22</x:f>
        <x:v>18248.75485957247</x:v>
      </x:c>
    </x:row>
    <x:row r="10">
      <x:c r="B10" s="10" t="inlineStr">
        <x:is>
          <x:t xml:space="preserve">Net cash flow after debt service</x:t>
        </x:is>
      </x:c>
      <x:c r="C10" s="18">
        <x:f>C8-C9</x:f>
        <x:v>-33948.754859572466</x:v>
      </x:c>
      <x:c r="D10" s="18">
        <x:f>D8-D9</x:f>
        <x:v>26871.24514042753</x:v>
      </x:c>
      <x:c r="E10" s="18">
        <x:f>E8-E9</x:f>
        <x:v>53334.76014042755</x:v>
      </x:c>
      <x:c r="F10" s="18">
        <x:f>F8-F9</x:f>
        <x:v>81251.11664042754</x:v>
      </x:c>
      <x:c r="G10" s="18">
        <x:f>G8-G9</x:f>
        <x:v>150918.86372442768</x:v>
      </x:c>
    </x:row>
    <x:row r="11">
      <x:c r="B11" s="10" t="inlineStr">
        <x:is>
          <x:t xml:space="preserve">Ending cash</x:t>
        </x:is>
      </x:c>
      <x:c r="C11" s="18">
        <x:f>C7+C10</x:f>
        <x:v>16051.245140427534</x:v>
      </x:c>
      <x:c r="D11" s="18">
        <x:f>D7+D10</x:f>
        <x:v>42922.49028085507</x:v>
      </x:c>
      <x:c r="E11" s="18">
        <x:f>E7+E10</x:f>
        <x:v>96257.25042128262</x:v>
      </x:c>
      <x:c r="F11" s="18">
        <x:f>F7+F10</x:f>
        <x:v>177508.36706171016</x:v>
      </x:c>
      <x:c r="G11" s="18">
        <x:f>G7+G10</x:f>
        <x:v>328427.23078613786</x:v>
      </x:c>
    </x:row>
    <x:row r="12"/>
    <x:row r="13">
      <x:c r="A13" s="16" t="inlineStr">
        <x:is>
          <x:t xml:space="preserve">Coverage and liquidity</x:t>
        </x:is>
      </x:c>
      <x:c r="B13" s="9" t="n"/>
      <x:c r="C13" s="9" t="n"/>
      <x:c r="D13" s="9" t="n"/>
      <x:c r="E13" s="9" t="n"/>
      <x:c r="F13" s="9" t="n"/>
      <x:c r="G13" s="9" t="n"/>
    </x:row>
    <x:row r="14">
      <x:c r="B14" s="10" t="inlineStr">
        <x:is>
          <x:t xml:space="preserve">DSCR</x:t>
        </x:is>
      </x:c>
      <x:c r="C14" s="21">
        <x:f>IF(C9=0,"",C8/C9)</x:f>
        <x:v>-0.8603326704103591</x:v>
      </x:c>
      <x:c r="D14" s="21">
        <x:f>IF(D9=0,"",D8/D9)</x:f>
        <x:v>2.472497457892701</x:v>
      </x:c>
      <x:c r="E14" s="21">
        <x:f>IF(E9=0,"",E8/E9)</x:f>
        <x:v>3.9226520138414016</x:v>
      </x:c>
      <x:c r="F14" s="21">
        <x:f>IF(F9=0,"",F8/F9)</x:f>
        <x:v>5.4524197549734135</x:v>
      </x:c>
      <x:c r="G14" s="21">
        <x:f>IF(G9=0,"",G8/G9)</x:f>
        <x:v>9.270091021868405</x:v>
      </x:c>
    </x:row>
    <x:row r="15">
      <x:c r="B15" s="10" t="inlineStr">
        <x:is>
          <x:t xml:space="preserve">Days cash on hand</x:t>
        </x:is>
      </x:c>
      <x:c r="C15" s="17">
        <x:f>IF('5-Year P&amp;L'!C19=0,"",C11/'5-Year P&amp;L'!C19*365)</x:f>
        <x:v>17.988039534099016</x:v>
      </x:c>
      <x:c r="D15" s="17">
        <x:f>IF('5-Year P&amp;L'!D19=0,"",D11/'5-Year P&amp;L'!D19*365)</x:f>
        <x:v>37.29866856614488</x:v>
      </x:c>
      <x:c r="E15" s="17">
        <x:f>IF('5-Year P&amp;L'!E19=0,"",E11/'5-Year P&amp;L'!E19*365)</x:f>
        <x:v>63.00212503019307</x:v>
      </x:c>
      <x:c r="F15" s="17">
        <x:f>IF('5-Year P&amp;L'!F19=0,"",F11/'5-Year P&amp;L'!F19*365)</x:f>
        <x:v>92.14069165097428</x:v>
      </x:c>
      <x:c r="G15" s="17">
        <x:f>IF('5-Year P&amp;L'!G19=0,"",G11/'5-Year P&amp;L'!G19*365)</x:f>
        <x:v>146.78641037589526</x:v>
      </x:c>
    </x:row>
    <x:row r="16">
      <x:c r="B16" s="10" t="inlineStr">
        <x:is>
          <x:t xml:space="preserve">Months of runway</x:t>
        </x:is>
      </x:c>
      <x:c r="C16" s="17">
        <x:f>IF('5-Year P&amp;L'!C19=0,"",C11/('5-Year P&amp;L'!C19/12))</x:f>
        <x:v>0.5913876011210636</x:v>
      </x:c>
      <x:c r="D16" s="17">
        <x:f>IF('5-Year P&amp;L'!D19=0,"",D11/('5-Year P&amp;L'!D19/12))</x:f>
        <x:v>1.226257596695174</x:v>
      </x:c>
      <x:c r="E16" s="17">
        <x:f>IF('5-Year P&amp;L'!E19=0,"",E11/('5-Year P&amp;L'!E19/12))</x:f>
        <x:v>2.0713027407186764</x:v>
      </x:c>
      <x:c r="F16" s="17">
        <x:f>IF('5-Year P&amp;L'!F19=0,"",F11/('5-Year P&amp;L'!F19/12))</x:f>
        <x:v>3.0292830131827158</x:v>
      </x:c>
      <x:c r="G16" s="17">
        <x:f>IF('5-Year P&amp;L'!G19=0,"",G11/('5-Year P&amp;L'!G19/12))</x:f>
        <x:v>4.825854587700666</x:v>
      </x:c>
    </x:row>
    <x:row r="17">
      <x:c r="B17" s="10" t="inlineStr">
        <x:is>
          <x:t xml:space="preserve">Revenue per student</x:t>
        </x:is>
      </x:c>
      <x:c r="C17" s="18">
        <x:f>IF(Drivers!C7=0,"",'5-Year P&amp;L'!C11/Drivers!C7)</x:f>
        <x:v>12916.666666666666</x:v>
      </x:c>
      <x:c r="D17" s="18">
        <x:f>IF(Drivers!D7=0,"",'5-Year P&amp;L'!D11/Drivers!D7)</x:f>
        <x:v>12920.944444444445</x:v>
      </x:c>
      <x:c r="E17" s="18">
        <x:f>IF(Drivers!E7=0,"",'5-Year P&amp;L'!E11/Drivers!E7)</x:f>
        <x:v>13109.283333333333</x:v>
      </x:c>
      <x:c r="F17" s="18">
        <x:f>IF(Drivers!F7=0,"",'5-Year P&amp;L'!F11/Drivers!F7)</x:f>
        <x:v>13377.82826666667</x:v>
      </x:c>
      <x:c r="G17" s="18">
        <x:f>IF(Drivers!G7=0,"",'5-Year P&amp;L'!G11/Drivers!G7)</x:f>
        <x:v>13692.177932222225</x:v>
      </x:c>
    </x:row>
    <x:row r="18">
      <x:c r="B18" s="10" t="inlineStr">
        <x:is>
          <x:t xml:space="preserve">People cost % of revenue</x:t>
        </x:is>
      </x:c>
      <x:c r="C18" s="19">
        <x:f>IF('5-Year P&amp;L'!C11=0,"",Staffing!C21/'5-Year P&amp;L'!C11)</x:f>
        <x:v>0.6209677419354839</x:v>
      </x:c>
      <x:c r="D18" s="19">
        <x:f>IF('5-Year P&amp;L'!D11=0,"",Staffing!D21/'5-Year P&amp;L'!D11)</x:f>
        <x:v>0.5602230659093548</x:v>
      </x:c>
      <x:c r="E18" s="19">
        <x:f>IF('5-Year P&amp;L'!E11=0,"",Staffing!E21/'5-Year P&amp;L'!E11)</x:f>
        <x:v>0.5888310144719328</x:v>
      </x:c>
      <x:c r="F18" s="19">
        <x:f>IF('5-Year P&amp;L'!F11=0,"",Staffing!F21/'5-Year P&amp;L'!F11)</x:f>
        <x:v>0.6064884234772455</x:v>
      </x:c>
      <x:c r="G18" s="19">
        <x:f>IF('5-Year P&amp;L'!G11=0,"",Staffing!G21/'5-Year P&amp;L'!G11)</x:f>
        <x:v>0.5776893816868005</x:v>
      </x:c>
    </x:row>
    <x:row r="19">
      <x:c r="B19" s="10" t="inlineStr">
        <x:is>
          <x:t xml:space="preserve">Occupancy cost % of revenue</x:t>
        </x:is>
      </x:c>
      <x:c r="C19" s="19">
        <x:f>IF('5-Year P&amp;L'!C11=0,"",(Drivers!C21+Drivers!C22)/'5-Year P&amp;L'!C11)</x:f>
        <x:v>0.1935483870967742</x:v>
      </x:c>
      <x:c r="D19" s="19">
        <x:f>IF('5-Year P&amp;L'!D11=0,"",(Drivers!D21+Drivers!D22)/'5-Year P&amp;L'!D11)</x:f>
        <x:v>0.13285922511684303</x:v>
      </x:c>
      <x:c r="E19" s="19">
        <x:f>IF('5-Year P&amp;L'!E11=0,"",(Drivers!E21+Drivers!E22)/'5-Year P&amp;L'!E11)</x:f>
        <x:v>0.10115922940104788</x:v>
      </x:c>
      <x:c r="F19" s="19">
        <x:f>IF('5-Year P&amp;L'!F11=0,"",(Drivers!F21+Drivers!F22)/'5-Year P&amp;L'!F11)</x:f>
        <x:v>0.08168194255585799</x:v>
      </x:c>
      <x:c r="G19" s="19">
        <x:f>IF('5-Year P&amp;L'!G11=0,"",(Drivers!G21+Drivers!G22)/'5-Year P&amp;L'!G11)</x:f>
        <x:v>0.06850071719606332</x:v>
      </x:c>
    </x:row>
    <x:row r="20">
      <x:c r="B20" s="10" t="inlineStr">
        <x:is>
          <x:t xml:space="preserve">Enrollment above / below break-even</x:t>
        </x:is>
      </x:c>
      <x:c r="C20" s="17">
        <x:f>IF('5-Year P&amp;L'!C33="","",Drivers!C7-'5-Year P&amp;L'!C33)</x:f>
        <x:v>-4</x:v>
      </x:c>
      <x:c r="D20" s="17">
        <x:f>IF('5-Year P&amp;L'!D33="","",Drivers!D7-'5-Year P&amp;L'!D33)</x:f>
        <x:v>2</x:v>
      </x:c>
      <x:c r="E20" s="17">
        <x:f>IF('5-Year P&amp;L'!E33="","",Drivers!E7-'5-Year P&amp;L'!E33)</x:f>
        <x:v>4</x:v>
      </x:c>
      <x:c r="F20" s="17">
        <x:f>IF('5-Year P&amp;L'!F33="","",Drivers!F7-'5-Year P&amp;L'!F33)</x:f>
        <x:v>7</x:v>
      </x:c>
      <x:c r="G20" s="17">
        <x:f>IF('5-Year P&amp;L'!G33="","",Drivers!G7-'5-Year P&amp;L'!G33)</x:f>
        <x:v>13</x:v>
      </x:c>
    </x:row>
    <x:row r="36">
      <x:c r="A36" s="20" t="inlineStr">
        <x:is>
          <x:t xml:space="preserve">SchoolStack Preview. This template is for planning and early underwriting conversations. Replace placeholders with real school data before submission.</x:t>
        </x:is>
      </x:c>
    </x:row>
  </x:sheetData>
  <x:mergeCells>
    <x:mergeCell ref="A36:G36"/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8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</x:cols>
  <x:sheetData>
    <x:row r="1">
      <x:c r="A1" s="1" t="inlineStr">
        <x:is>
          <x:t xml:space="preserve">Loan Snapshot</x:t>
        </x:is>
      </x:c>
    </x:row>
    <x:row r="2"/>
    <x:row r="3">
      <x:c r="A3" s="5" t="inlineStr">
        <x:is>
          <x:t xml:space="preserve">School name</x:t>
        </x:is>
      </x:c>
      <x:c r="B3" s="22" t="str">
        <x:f>Assumptions!$D$5</x:f>
        <x:v>School Name</x:v>
      </x:c>
    </x:row>
    <x:row r="4">
      <x:c r="A4" s="5" t="inlineStr">
        <x:is>
          <x:t xml:space="preserve">State</x:t>
        </x:is>
      </x:c>
      <x:c r="B4" s="22" t="str">
        <x:f>Assumptions!$D$6</x:f>
        <x:v>SC</x:v>
      </x:c>
    </x:row>
    <x:row r="5">
      <x:c r="A5" s="5" t="inlineStr">
        <x:is>
          <x:t xml:space="preserve">School type</x:t>
        </x:is>
      </x:c>
      <x:c r="B5" s="22" t="str">
        <x:f>Assumptions!$D$7</x:f>
        <x:v>Microschool</x:v>
      </x:c>
    </x:row>
    <x:row r="6">
      <x:c r="A6" s="5" t="inlineStr">
        <x:is>
          <x:t xml:space="preserve">First operating year</x:t>
        </x:is>
      </x:c>
      <x:c r="B6" s="22">
        <x:f>Assumptions!$D$8</x:f>
        <x:v>2026</x:v>
      </x:c>
    </x:row>
    <x:row r="7"/>
    <x:row r="8">
      <x:c r="C8" s="23">
        <x:f>'5-Year P&amp;L'!C3</x:f>
        <x:v>2026</x:v>
      </x:c>
      <x:c r="D8" s="23">
        <x:f>'5-Year P&amp;L'!D3</x:f>
        <x:v>2027</x:v>
      </x:c>
      <x:c r="E8" s="23">
        <x:f>'5-Year P&amp;L'!E3</x:f>
        <x:v>2028</x:v>
      </x:c>
      <x:c r="F8" s="23">
        <x:f>'5-Year P&amp;L'!F3</x:f>
        <x:v>2029</x:v>
      </x:c>
      <x:c r="G8" s="23">
        <x:f>'5-Year P&amp;L'!G3</x:f>
        <x:v>2030</x:v>
      </x:c>
    </x:row>
    <x:row r="9">
      <x:c r="B9" s="10" t="inlineStr">
        <x:is>
          <x:t xml:space="preserve">Enrollment</x:t>
        </x:is>
      </x:c>
      <x:c r="C9" s="17">
        <x:f>Drivers!C7</x:f>
        <x:v>24</x:v>
      </x:c>
      <x:c r="D9" s="17">
        <x:f>Drivers!D7</x:f>
        <x:v>36</x:v>
      </x:c>
      <x:c r="E9" s="17">
        <x:f>Drivers!E7</x:f>
        <x:v>48</x:v>
      </x:c>
      <x:c r="F9" s="17">
        <x:f>Drivers!F7</x:f>
        <x:v>60</x:v>
      </x:c>
      <x:c r="G9" s="17">
        <x:f>Drivers!G7</x:f>
        <x:v>72</x:v>
      </x:c>
    </x:row>
    <x:row r="10">
      <x:c r="B10" s="10" t="inlineStr">
        <x:is>
          <x:t xml:space="preserve">Total revenue</x:t>
        </x:is>
      </x:c>
      <x:c r="C10" s="18">
        <x:f>'5-Year P&amp;L'!C11</x:f>
        <x:v>310000</x:v>
      </x:c>
      <x:c r="D10" s="18">
        <x:f>'5-Year P&amp;L'!D11</x:f>
        <x:v>465154</x:v>
      </x:c>
      <x:c r="E10" s="18">
        <x:f>'5-Year P&amp;L'!E11</x:f>
        <x:v>629245.6</x:v>
      </x:c>
      <x:c r="F10" s="18">
        <x:f>'5-Year P&amp;L'!F11</x:f>
        <x:v>802669.6960000001</x:v>
      </x:c>
      <x:c r="G10" s="18">
        <x:f>'5-Year P&amp;L'!G11</x:f>
        <x:v>985836.8111200002</x:v>
      </x:c>
    </x:row>
    <x:row r="11">
      <x:c r="B11" s="10" t="inlineStr">
        <x:is>
          <x:t xml:space="preserve">CFADS</x:t>
        </x:is>
      </x:c>
      <x:c r="C11" s="18">
        <x:f>'Cash Flow &amp; DSCR'!C8</x:f>
        <x:v>-15700</x:v>
      </x:c>
      <x:c r="D11" s="18">
        <x:f>'Cash Flow &amp; DSCR'!D8</x:f>
        <x:v>45120</x:v>
      </x:c>
      <x:c r="E11" s="18">
        <x:f>'Cash Flow &amp; DSCR'!E8</x:f>
        <x:v>71583.51500000001</x:v>
      </x:c>
      <x:c r="F11" s="18">
        <x:f>'Cash Flow &amp; DSCR'!F8</x:f>
        <x:v>99499.87150000001</x:v>
      </x:c>
      <x:c r="G11" s="18">
        <x:f>'Cash Flow &amp; DSCR'!G8</x:f>
        <x:v>169167.61858400016</x:v>
      </x:c>
    </x:row>
    <x:row r="12">
      <x:c r="B12" s="10" t="inlineStr">
        <x:is>
          <x:t xml:space="preserve">Debt service</x:t>
        </x:is>
      </x:c>
      <x:c r="C12" s="18">
        <x:f>'Cash Flow &amp; DSCR'!C9</x:f>
        <x:v>18248.75485957247</x:v>
      </x:c>
      <x:c r="D12" s="18">
        <x:f>'Cash Flow &amp; DSCR'!D9</x:f>
        <x:v>18248.75485957247</x:v>
      </x:c>
      <x:c r="E12" s="18">
        <x:f>'Cash Flow &amp; DSCR'!E9</x:f>
        <x:v>18248.75485957247</x:v>
      </x:c>
      <x:c r="F12" s="18">
        <x:f>'Cash Flow &amp; DSCR'!F9</x:f>
        <x:v>18248.75485957247</x:v>
      </x:c>
      <x:c r="G12" s="18">
        <x:f>'Cash Flow &amp; DSCR'!G9</x:f>
        <x:v>18248.75485957247</x:v>
      </x:c>
    </x:row>
    <x:row r="13">
      <x:c r="B13" s="10" t="inlineStr">
        <x:is>
          <x:t xml:space="preserve">DSCR</x:t>
        </x:is>
      </x:c>
      <x:c r="C13" s="21">
        <x:f>'Cash Flow &amp; DSCR'!C14</x:f>
        <x:v>-0.8603326704103591</x:v>
      </x:c>
      <x:c r="D13" s="21">
        <x:f>'Cash Flow &amp; DSCR'!D14</x:f>
        <x:v>2.472497457892701</x:v>
      </x:c>
      <x:c r="E13" s="21">
        <x:f>'Cash Flow &amp; DSCR'!E14</x:f>
        <x:v>3.9226520138414016</x:v>
      </x:c>
      <x:c r="F13" s="21">
        <x:f>'Cash Flow &amp; DSCR'!F14</x:f>
        <x:v>5.4524197549734135</x:v>
      </x:c>
      <x:c r="G13" s="21">
        <x:f>'Cash Flow &amp; DSCR'!G14</x:f>
        <x:v>9.270091021868405</x:v>
      </x:c>
    </x:row>
    <x:row r="14">
      <x:c r="B14" s="10" t="inlineStr">
        <x:is>
          <x:t xml:space="preserve">Ending cash</x:t>
        </x:is>
      </x:c>
      <x:c r="C14" s="18">
        <x:f>'Cash Flow &amp; DSCR'!C11</x:f>
        <x:v>16051.245140427534</x:v>
      </x:c>
      <x:c r="D14" s="18">
        <x:f>'Cash Flow &amp; DSCR'!D11</x:f>
        <x:v>42922.49028085507</x:v>
      </x:c>
      <x:c r="E14" s="18">
        <x:f>'Cash Flow &amp; DSCR'!E11</x:f>
        <x:v>96257.25042128262</x:v>
      </x:c>
      <x:c r="F14" s="18">
        <x:f>'Cash Flow &amp; DSCR'!F11</x:f>
        <x:v>177508.36706171016</x:v>
      </x:c>
      <x:c r="G14" s="18">
        <x:f>'Cash Flow &amp; DSCR'!G11</x:f>
        <x:v>328427.23078613786</x:v>
      </x:c>
    </x:row>
    <x:row r="15">
      <x:c r="B15" s="10" t="inlineStr">
        <x:is>
          <x:t xml:space="preserve">Days cash</x:t>
        </x:is>
      </x:c>
      <x:c r="C15" s="17">
        <x:f>'Cash Flow &amp; DSCR'!C15</x:f>
        <x:v>17.988039534099016</x:v>
      </x:c>
      <x:c r="D15" s="17">
        <x:f>'Cash Flow &amp; DSCR'!D15</x:f>
        <x:v>37.29866856614488</x:v>
      </x:c>
      <x:c r="E15" s="17">
        <x:f>'Cash Flow &amp; DSCR'!E15</x:f>
        <x:v>63.00212503019307</x:v>
      </x:c>
      <x:c r="F15" s="17">
        <x:f>'Cash Flow &amp; DSCR'!F15</x:f>
        <x:v>92.14069165097428</x:v>
      </x:c>
      <x:c r="G15" s="17">
        <x:f>'Cash Flow &amp; DSCR'!G15</x:f>
        <x:v>146.78641037589526</x:v>
      </x:c>
    </x:row>
    <x:row r="16">
      <x:c r="B16" s="10" t="inlineStr">
        <x:is>
          <x:t xml:space="preserve">Break-even enrollment</x:t>
        </x:is>
      </x:c>
      <x:c r="C16" s="17">
        <x:f>'5-Year P&amp;L'!C33</x:f>
        <x:v>28</x:v>
      </x:c>
      <x:c r="D16" s="17">
        <x:f>'5-Year P&amp;L'!D33</x:f>
        <x:v>34</x:v>
      </x:c>
      <x:c r="E16" s="17">
        <x:f>'5-Year P&amp;L'!E33</x:f>
        <x:v>44</x:v>
      </x:c>
      <x:c r="F16" s="17">
        <x:f>'5-Year P&amp;L'!F33</x:f>
        <x:v>53</x:v>
      </x:c>
      <x:c r="G16" s="17">
        <x:f>'5-Year P&amp;L'!G33</x:f>
        <x:v>59</x:v>
      </x:c>
    </x:row>
    <x:row r="17">
      <x:c r="B17" s="10" t="inlineStr">
        <x:is>
          <x:t xml:space="preserve">Students above / below break-even</x:t>
        </x:is>
      </x:c>
      <x:c r="C17" s="17">
        <x:f>'Cash Flow &amp; DSCR'!C20</x:f>
        <x:v>-4</x:v>
      </x:c>
      <x:c r="D17" s="17">
        <x:f>'Cash Flow &amp; DSCR'!D20</x:f>
        <x:v>2</x:v>
      </x:c>
      <x:c r="E17" s="17">
        <x:f>'Cash Flow &amp; DSCR'!E20</x:f>
        <x:v>4</x:v>
      </x:c>
      <x:c r="F17" s="17">
        <x:f>'Cash Flow &amp; DSCR'!F20</x:f>
        <x:v>7</x:v>
      </x:c>
      <x:c r="G17" s="17">
        <x:f>'Cash Flow &amp; DSCR'!G20</x:f>
        <x:v>13</x:v>
      </x:c>
    </x:row>
    <x:row r="18"/>
    <x:row r="19"/>
    <x:row r="20">
      <x:c r="A20" s="2" t="inlineStr">
        <x:is>
          <x:t xml:space="preserve">Quick underwriting flags</x:t>
        </x:is>
      </x:c>
      <x:c r="E20" s="2" t="inlineStr">
        <x:is>
          <x:t xml:space="preserve">Guidance</x:t>
        </x:is>
      </x:c>
    </x:row>
    <x:row r="21">
      <x:c r="A21" s="10" t="inlineStr">
        <x:is>
          <x:t xml:space="preserve">Year 1 DSCR</x:t>
        </x:is>
      </x:c>
      <x:c r="B21" s="21">
        <x:f>'Cash Flow &amp; DSCR'!C14</x:f>
        <x:v>-0.8603326704103591</x:v>
      </x:c>
      <x:c r="C21" s="24" t="str">
        <x:f>IF(B21="","No Debt",IF(B21&gt;=1.25,"Pass",IF(B21&gt;=1.00,"Watch","Risk")))</x:f>
        <x:v>Risk</x:v>
      </x:c>
      <x:c r="E21" s="25" t="inlineStr">
        <x:is>
          <x:t xml:space="preserve">DSCR target: 1.25x+</x:t>
        </x:is>
      </x:c>
    </x:row>
    <x:row r="22">
      <x:c r="A22" s="10" t="inlineStr">
        <x:is>
          <x:t xml:space="preserve">Year 1 Days cash</x:t>
        </x:is>
      </x:c>
      <x:c r="B22" s="17">
        <x:f>'Cash Flow &amp; DSCR'!C15</x:f>
        <x:v>17.988039534099016</x:v>
      </x:c>
      <x:c r="C22" s="24" t="str">
        <x:f>IF(B22&gt;=60,"Pass",IF(B22&gt;=30,"Watch","Risk"))</x:f>
        <x:v>Risk</x:v>
      </x:c>
      <x:c r="E22" s="25" t="inlineStr">
        <x:is>
          <x:t xml:space="preserve">Days cash target: 60+</x:t>
        </x:is>
      </x:c>
    </x:row>
    <x:row r="23">
      <x:c r="A23" s="10" t="inlineStr">
        <x:is>
          <x:t xml:space="preserve">Year 3 DSCR</x:t>
        </x:is>
      </x:c>
      <x:c r="B23" s="21">
        <x:f>'Cash Flow &amp; DSCR'!E14</x:f>
        <x:v>3.9226520138414016</x:v>
      </x:c>
      <x:c r="C23" s="24" t="str">
        <x:f>IF(B23="","No Debt",IF(B23&gt;=1.25,"Pass",IF(B23&gt;=1.00,"Watch","Risk")))</x:f>
        <x:v>Pass</x:v>
      </x:c>
      <x:c r="E23" s="25" t="inlineStr">
        <x:is>
          <x:t xml:space="preserve">Breakeven gap should be &gt;= 0</x:t>
        </x:is>
      </x:c>
    </x:row>
    <x:row r="24">
      <x:c r="A24" s="10" t="inlineStr">
        <x:is>
          <x:t xml:space="preserve">Year 3 Days cash</x:t>
        </x:is>
      </x:c>
      <x:c r="B24" s="17">
        <x:f>'Cash Flow &amp; DSCR'!E15</x:f>
        <x:v>63.00212503019307</x:v>
      </x:c>
      <x:c r="C24" s="24" t="str">
        <x:f>IF(B24&gt;=60,"Pass",IF(B24&gt;=30,"Watch","Risk"))</x:f>
        <x:v>Pass</x:v>
      </x:c>
      <x:c r="E24" s="25" t="inlineStr">
        <x:is>
          <x:t xml:space="preserve">Ending cash should stay positive</x:t>
        </x:is>
      </x:c>
    </x:row>
    <x:row r="25">
      <x:c r="A25" s="10" t="inlineStr">
        <x:is>
          <x:t xml:space="preserve">Year 1 enrollment vs break-even</x:t>
        </x:is>
      </x:c>
      <x:c r="B25" s="17">
        <x:f>'Cash Flow &amp; DSCR'!C20</x:f>
        <x:v>-4</x:v>
      </x:c>
      <x:c r="C25" s="24" t="str">
        <x:f>IF(B25&gt;=0,"Pass","Risk")</x:f>
        <x:v>Risk</x:v>
      </x:c>
    </x:row>
    <x:row r="26">
      <x:c r="A26" s="10" t="inlineStr">
        <x:is>
          <x:t xml:space="preserve">Year 3 ending cash</x:t>
        </x:is>
      </x:c>
      <x:c r="B26" s="18">
        <x:f>'Cash Flow &amp; DSCR'!E11</x:f>
        <x:v>96257.25042128262</x:v>
      </x:c>
      <x:c r="C26" s="24" t="str">
        <x:f>IF(B26&gt;0,"Pass","Risk")</x:f>
        <x:v>Pass</x:v>
      </x:c>
    </x:row>
    <x:row r="36">
      <x:c r="A36" s="20" t="inlineStr">
        <x:is>
          <x:t xml:space="preserve">SchoolStack Preview. This template is for planning and early underwriting conversations. Replace placeholders with real school data before submission.</x:t>
        </x:is>
      </x:c>
    </x:row>
  </x:sheetData>
  <x:mergeCells>
    <x:mergeCell ref="A36:G36"/>
    <x:mergeCell ref="A1:G1"/>
  </x:mergeCells>
  <x:conditionalFormatting sqref="C21:C26">
    <x:cfRule type="expression" dxfId="0" priority="1">
      <x:formula>ISNUMBER(SEARCH("Pass",C21))</x:formula>
    </x:cfRule>
    <x:cfRule type="expression" dxfId="1" priority="2">
      <x:formula>ISNUMBER(SEARCH("Watch",C21))</x:formula>
    </x:cfRule>
    <x:cfRule type="expression" dxfId="2" priority="3">
      <x:formula>ISNUMBER(SEARCH("Risk",C21))</x:formula>
    </x:cfRule>
  </x:conditionalFormatting>
  <x:pageMargins left="0.7" right="0.7" top="0.75" bottom="0.75" header="0.3" footer="0.3"/>
  <x:drawing xmlns:r="http://schemas.openxmlformats.org/officeDocument/2006/relationships" r:id="Re3955c98b2624df8"/>
</x:worksheet>
</file>