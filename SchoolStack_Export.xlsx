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5-Year Model" state="visible" r:id="rId5"/>
    <sheet sheetId="3" name="Year 1 Pro Forma" state="visible" r:id="rId6"/>
    <sheet sheetId="4" name="Actuals vs. Projections" state="visible" r:id="rId7"/>
  </sheets>
  <definedNames>
    <definedName name="_xlnm.Print_Area" localSheetId="0">'Assumptions'!$A1:$J46</definedName>
    <definedName name="_xlnm.Print_Titles" localSheetId="0">'Assumptions'!$1:$3</definedName>
    <definedName name="_xlnm.Print_Area" localSheetId="1">'5-Year Model'!$A1:$F52</definedName>
    <definedName name="_xlnm.Print_Titles" localSheetId="1">'5-Year Model'!$1:$2</definedName>
    <definedName name="_xlnm.Print_Area" localSheetId="2">'Year 1 Pro Forma'!$A1:$N24</definedName>
    <definedName name="_xlnm.Print_Titles" localSheetId="2">'Year 1 Pro Forma'!$1:$2</definedName>
    <definedName name="_xlnm.Print_Area" localSheetId="3">'Actuals vs. Projections'!$A1:$E21</definedName>
    <definedName name="_xlnm.Print_Titles" localSheetId="3">'Actuals vs. Projections'!$1:$2</definedName>
  </definedNames>
  <calcPr calcId="171027" fullCalcOnLoad="1"/>
</workbook>
</file>

<file path=xl/sharedStrings.xml><?xml version="1.0" encoding="utf-8"?>
<sst xmlns="http://schemas.openxmlformats.org/spreadsheetml/2006/main" count="194" uniqueCount="146">
  <si>
    <t>Test School Automation — Financial Model Assumptions</t>
  </si>
  <si>
    <t>Yellow cells are editable inputs. All other cells in this workbook are formulas.</t>
  </si>
  <si>
    <t>SCHOOL PROFILE</t>
  </si>
  <si>
    <t>School Name</t>
  </si>
  <si>
    <t>Test School Automation</t>
  </si>
  <si>
    <t>State</t>
  </si>
  <si>
    <t>CA</t>
  </si>
  <si>
    <t>School Type</t>
  </si>
  <si>
    <t>Private School</t>
  </si>
  <si>
    <t>Legal Entity</t>
  </si>
  <si>
    <t>LLC (Partnership)</t>
  </si>
  <si>
    <t>EIN</t>
  </si>
  <si>
    <t>N/A</t>
  </si>
  <si>
    <t>Fiscal Year Start</t>
  </si>
  <si>
    <t>July</t>
  </si>
  <si>
    <t>Maximum Capacity</t>
  </si>
  <si>
    <t>School Stage</t>
  </si>
  <si>
    <t>Operating School</t>
  </si>
  <si>
    <t>ENROLLMENT</t>
  </si>
  <si>
    <t>Year 1</t>
  </si>
  <si>
    <t>Year 2</t>
  </si>
  <si>
    <t>Year 3</t>
  </si>
  <si>
    <t>Year 4</t>
  </si>
  <si>
    <t>Year 5</t>
  </si>
  <si>
    <t>Students Enrolled</t>
  </si>
  <si>
    <t>REVENUE SOURCES</t>
  </si>
  <si>
    <t>Category</t>
  </si>
  <si>
    <t>Driver</t>
  </si>
  <si>
    <t>Yr 1 Amount</t>
  </si>
  <si>
    <t>Escalation %</t>
  </si>
  <si>
    <t>Billing Mo.</t>
  </si>
  <si>
    <t>Collection %</t>
  </si>
  <si>
    <t>Note</t>
  </si>
  <si>
    <t>STAFFING ROSTER</t>
  </si>
  <si>
    <t>Function</t>
  </si>
  <si>
    <t>Type</t>
  </si>
  <si>
    <t>FTE</t>
  </si>
  <si>
    <t>Annual Rate</t>
  </si>
  <si>
    <t>Benefits %</t>
  </si>
  <si>
    <t>Payroll Tax %</t>
  </si>
  <si>
    <t>Benefits Elig.</t>
  </si>
  <si>
    <t>Notes</t>
  </si>
  <si>
    <t>FACILITIES &amp; OCCUPANCY</t>
  </si>
  <si>
    <t>Amount</t>
  </si>
  <si>
    <t>Frequency</t>
  </si>
  <si>
    <t>Ownership Type</t>
  </si>
  <si>
    <t>Rent</t>
  </si>
  <si>
    <t>Monthly Rent</t>
  </si>
  <si>
    <t>Monthly</t>
  </si>
  <si>
    <t>Annual Rent Escalation</t>
  </si>
  <si>
    <t>OPERATING EXPENSES</t>
  </si>
  <si>
    <t>CAPITAL &amp; DEBT</t>
  </si>
  <si>
    <t>Is Loan?</t>
  </si>
  <si>
    <t>Principal</t>
  </si>
  <si>
    <t>Interest Rate</t>
  </si>
  <si>
    <t>Term (Yrs)</t>
  </si>
  <si>
    <t>Annual Payment</t>
  </si>
  <si>
    <t>GROWTH &amp; TIMING ASSUMPTIONS</t>
  </si>
  <si>
    <t>Annual Salary Escalation</t>
  </si>
  <si>
    <t>General Cost Inflation</t>
  </si>
  <si>
    <t>Year 1 Proration Factor</t>
  </si>
  <si>
    <t>(12 of 12 months)</t>
  </si>
  <si>
    <t>Tuition Escalation Rate</t>
  </si>
  <si>
    <t>Management Fee %</t>
  </si>
  <si>
    <t>Starting Cash</t>
  </si>
  <si>
    <t>HISTORICAL / CURRENT YEAR DATA</t>
  </si>
  <si>
    <t>Prior Year</t>
  </si>
  <si>
    <t>Current Year</t>
  </si>
  <si>
    <t>Enrollment</t>
  </si>
  <si>
    <t/>
  </si>
  <si>
    <t>Total Revenue</t>
  </si>
  <si>
    <t>Total Expenses</t>
  </si>
  <si>
    <t>Net Income</t>
  </si>
  <si>
    <t>Ending Cash</t>
  </si>
  <si>
    <t>Built by SchoolStack Budget  •  budget.schoolstack.ai</t>
  </si>
  <si>
    <t>Test School Automation — 5-Year Financial Model</t>
  </si>
  <si>
    <t>REVENUE</t>
  </si>
  <si>
    <t>TOTAL REVENUE</t>
  </si>
  <si>
    <t>PERSONNEL</t>
  </si>
  <si>
    <t>TOTAL PERSONNEL</t>
  </si>
  <si>
    <t>TOTAL OPERATING EXPENSES</t>
  </si>
  <si>
    <t>CAPITAL &amp; DEBT SERVICE</t>
  </si>
  <si>
    <t>TOTAL CAPITAL &amp; DEBT SERVICE</t>
  </si>
  <si>
    <t>INCOME STATEMENT SUMMARY</t>
  </si>
  <si>
    <t>Total Personnel</t>
  </si>
  <si>
    <t>Total Operating Expenses</t>
  </si>
  <si>
    <t>Total Capital &amp; Debt Service</t>
  </si>
  <si>
    <t>Profit / (Loss)</t>
  </si>
  <si>
    <t>Profit Margin %</t>
  </si>
  <si>
    <t>Cumulative Profit</t>
  </si>
  <si>
    <t>CASH FLOW &amp; DEBT COVERAGE</t>
  </si>
  <si>
    <t>CFADS (Cash Flow Available for Debt Service)</t>
  </si>
  <si>
    <t>Debt Service</t>
  </si>
  <si>
    <t>DSCR (Debt Service Coverage Ratio)</t>
  </si>
  <si>
    <t>Days Cash on Hand</t>
  </si>
  <si>
    <t>Months of Runway</t>
  </si>
  <si>
    <t>Capacity Utilization %</t>
  </si>
  <si>
    <t>COVENANT &amp; HEALTH CHECKS</t>
  </si>
  <si>
    <t>DSCR ≥ 1.20x</t>
  </si>
  <si>
    <t>Positive Net Income</t>
  </si>
  <si>
    <t>Enrollment ≥ 70% Capacity</t>
  </si>
  <si>
    <t>Cash Reserve ≥ 2 Months</t>
  </si>
  <si>
    <t>BREAK-EVEN ANALYSIS</t>
  </si>
  <si>
    <t>Revenue Per Student</t>
  </si>
  <si>
    <t>Cost Per Student</t>
  </si>
  <si>
    <t>Fixed Costs (Personnel + Debt)</t>
  </si>
  <si>
    <t>Variable Cost Per Student</t>
  </si>
  <si>
    <t>Contribution Margin Per Student</t>
  </si>
  <si>
    <t>Break-Even Enrollment</t>
  </si>
  <si>
    <t>Test School Automation — Year 1 Pro Forma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</si>
  <si>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</si>
  <si>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</si>
  <si>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</si>
  <si>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</si>
  <si>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</si>
  <si>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</si>
  <si>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</si>
  <si>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</si>
  <si>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</si>
  <si>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</si>
  <si>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</si>
  <si>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Year 1 Total</t>
  </si>
  <si>
    <t>Capital &amp; Debt Service</t>
  </si>
  <si>
    <t>MONTHLY CASH FLOW</t>
  </si>
  <si>
    <t>Net Cash Flow</t>
  </si>
  <si>
    <t>Cumulative Cash</t>
  </si>
  <si>
    <t>CASH FLOW METRICS</t>
  </si>
  <si>
    <t>Ending Cash (Month 12)</t>
  </si>
  <si>
    <t>Minimum Cash Month</t>
  </si>
  <si>
    <t>Test School Automation — Actuals vs. Projections</t>
  </si>
  <si>
    <t>Prior Year (Actual)</t>
  </si>
  <si>
    <t>Year 1 (Projected)</t>
  </si>
  <si>
    <t>Year 2 (Projected)</t>
  </si>
  <si>
    <t>Yr 1 vs Prior/Current</t>
  </si>
  <si>
    <t>KEY METRICS</t>
  </si>
  <si>
    <t>Cash Position</t>
  </si>
  <si>
    <t>PER-STUDENT METRICS</t>
  </si>
  <si>
    <t>Expense Per Student</t>
  </si>
  <si>
    <t>Net Margin %</t>
  </si>
  <si>
    <t>Personnel as % of Revenue</t>
  </si>
  <si>
    <t>REALITY CHECK FLAGS</t>
  </si>
  <si>
    <t>⚠ Enrollment growth &gt; 30%</t>
  </si>
  <si>
    <t>Within range</t>
  </si>
  <si>
    <t>⚠ Revenue growth &gt; 25%</t>
  </si>
  <si>
    <t>⚠ First-year positive income (rare)</t>
  </si>
  <si>
    <t>Operating school — less unusual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</si>
</sst>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0x"/>
    <numFmt numFmtId="168" formatCode="0.0"/>
  </numFmts>
  <fonts count="12" x14ac:knownFonts="1">
    <font>
      <color theme="1"/>
      <family val="2"/>
      <scheme val="minor"/>
      <sz val="11"/>
      <name val="Calibri"/>
    </font>
    <font>
      <b/>
      <color rgb="FF1E293B"/>
      <sz val="14"/>
      <name val="Calibri"/>
    </font>
    <font>
      <i/>
      <color rgb="FF666666"/>
      <sz val="10"/>
      <name val="Calibri"/>
    </font>
    <font>
      <b/>
      <color rgb="FF1E293B"/>
      <sz val="11"/>
      <name val="Calibri"/>
    </font>
    <font>
      <sz val="11"/>
      <name val="Calibri"/>
    </font>
    <font>
      <i/>
      <color rgb="FF888888"/>
      <sz val="10"/>
      <name val="Calibri"/>
    </font>
    <font>
      <i/>
      <color rgb="FF9CA3AF"/>
      <sz val="9"/>
      <name val="Calibri"/>
    </font>
    <font>
      <b/>
      <color rgb="FFFFFFFF"/>
      <sz val="11"/>
      <name val="Calibri"/>
    </font>
    <font>
      <b/>
      <sz val="11"/>
      <name val="Calibri"/>
    </font>
    <font>
      <b/>
      <color rgb="FF1E293B"/>
      <sz val="12"/>
      <name val="Calibri"/>
    </font>
    <font>
      <color rgb="FFD97706"/>
      <sz val="11"/>
      <name val="Calibri"/>
    </font>
    <font>
      <color rgb="FF328555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FFFDE8"/>
      </patternFill>
    </fill>
    <fill>
      <patternFill patternType="solid">
        <fgColor rgb="FF1E293B"/>
      </patternFill>
    </fill>
    <fill>
      <patternFill patternType="solid">
        <fgColor rgb="FCE4EC"/>
      </patternFill>
    </fill>
    <fill>
      <patternFill patternType="solid">
        <fgColor rgb="FFF8E1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2" fontId="4" fillId="3" borderId="1" xfId="0" applyNumberFormat="1" applyFont="1" applyFill="1" applyBorder="1"/>
    <xf numFmtId="0" fontId="5" fillId="0" borderId="0" xfId="0" applyFont="1"/>
    <xf numFmtId="165" fontId="4" fillId="0" borderId="1" xfId="0" applyNumberFormat="1" applyFont="1" applyBorder="1"/>
    <xf numFmtId="0" fontId="6" fillId="0" borderId="0" xfId="0" applyFont="1"/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/>
    <xf numFmtId="164" fontId="8" fillId="0" borderId="1" xfId="0" applyNumberFormat="1" applyFont="1" applyBorder="1"/>
    <xf numFmtId="165" fontId="8" fillId="2" borderId="2" xfId="0" applyNumberFormat="1" applyFont="1" applyFill="1" applyBorder="1"/>
    <xf numFmtId="165" fontId="8" fillId="0" borderId="1" xfId="0" applyNumberFormat="1" applyFont="1" applyBorder="1"/>
    <xf numFmtId="0" fontId="9" fillId="0" borderId="0" xfId="0" applyFont="1"/>
    <xf numFmtId="165" fontId="8" fillId="0" borderId="2" xfId="0" applyNumberFormat="1" applyFont="1" applyBorder="1"/>
    <xf numFmtId="166" fontId="4" fillId="0" borderId="1" xfId="0" applyNumberFormat="1" applyFont="1" applyBorder="1"/>
    <xf numFmtId="167" fontId="8" fillId="0" borderId="1" xfId="0" applyNumberFormat="1" applyFont="1" applyBorder="1"/>
    <xf numFmtId="164" fontId="4" fillId="0" borderId="1" xfId="0" applyNumberFormat="1" applyFont="1" applyBorder="1"/>
    <xf numFmtId="168" fontId="4" fillId="0" borderId="1" xfId="0" applyNumberFormat="1" applyFont="1" applyBorder="1"/>
    <xf numFmtId="0" fontId="9" fillId="0" borderId="1" xfId="0" applyFont="1" applyBorder="1"/>
    <xf numFmtId="164" fontId="8" fillId="0" borderId="2" xfId="0" applyNumberFormat="1" applyFont="1" applyBorder="1"/>
    <xf numFmtId="166" fontId="8" fillId="5" borderId="1" xfId="0" applyNumberFormat="1" applyFont="1" applyFill="1" applyBorder="1"/>
    <xf numFmtId="166" fontId="8" fillId="6" borderId="1" xfId="0" applyNumberFormat="1" applyFont="1" applyFill="1" applyBorder="1"/>
    <xf numFmtId="0" fontId="10" fillId="0" borderId="1" xfId="0" applyFont="1" applyBorder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workbookViewId="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38" customWidth="1"/>
    <col min="2" max="2" width="18" customWidth="1"/>
    <col min="3" max="10" width="16" customWidth="1"/>
    <col min="11" max="11" width="18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s="2" t="s">
        <v>1</v>
      </c>
    </row>
    <row r="4" ht="24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spans="1:4" x14ac:dyDescent="0.25">
      <c r="A5" s="4" t="s">
        <v>3</v>
      </c>
      <c r="B5" s="5" t="s">
        <v>4</v>
      </c>
      <c r="C5" s="5"/>
      <c r="D5" s="5"/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6">
        <v>150</v>
      </c>
    </row>
    <row r="12" spans="1:2" x14ac:dyDescent="0.25">
      <c r="A12" s="4" t="s">
        <v>16</v>
      </c>
      <c r="B12" s="4" t="s">
        <v>17</v>
      </c>
    </row>
    <row r="14" ht="24" customHeight="1" spans="1:7" x14ac:dyDescent="0.25">
      <c r="A14" s="3" t="s">
        <v>18</v>
      </c>
      <c r="B14" s="7" t="s">
        <v>19</v>
      </c>
      <c r="C14" s="7" t="s">
        <v>20</v>
      </c>
      <c r="D14" s="7" t="s">
        <v>21</v>
      </c>
      <c r="E14" s="7" t="s">
        <v>22</v>
      </c>
      <c r="F14" s="7" t="s">
        <v>23</v>
      </c>
      <c r="G14" s="3"/>
    </row>
    <row r="15" spans="1:6" x14ac:dyDescent="0.25">
      <c r="A15" s="4" t="s">
        <v>24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</row>
    <row r="17" ht="24" customHeight="1" spans="1:10" x14ac:dyDescent="0.25">
      <c r="A17" s="3" t="s">
        <v>25</v>
      </c>
      <c r="B17" s="3" t="s">
        <v>26</v>
      </c>
      <c r="C17" s="3" t="s">
        <v>27</v>
      </c>
      <c r="D17" s="3" t="s">
        <v>28</v>
      </c>
      <c r="E17" s="3" t="s">
        <v>29</v>
      </c>
      <c r="F17" s="3" t="s">
        <v>30</v>
      </c>
      <c r="G17" s="3" t="s">
        <v>31</v>
      </c>
      <c r="H17" s="3" t="s">
        <v>32</v>
      </c>
      <c r="I17" s="3"/>
      <c r="J17" s="3"/>
    </row>
    <row r="20" ht="24" customHeight="1" spans="1:9" x14ac:dyDescent="0.25">
      <c r="A20" s="3" t="s">
        <v>33</v>
      </c>
      <c r="B20" s="3" t="s">
        <v>34</v>
      </c>
      <c r="C20" s="3" t="s">
        <v>35</v>
      </c>
      <c r="D20" s="3" t="s">
        <v>36</v>
      </c>
      <c r="E20" s="3" t="s">
        <v>37</v>
      </c>
      <c r="F20" s="3" t="s">
        <v>38</v>
      </c>
      <c r="G20" s="3" t="s">
        <v>39</v>
      </c>
      <c r="H20" s="3" t="s">
        <v>40</v>
      </c>
      <c r="I20" s="3" t="s">
        <v>41</v>
      </c>
    </row>
    <row r="22" ht="24" customHeight="1" spans="1:4" x14ac:dyDescent="0.25">
      <c r="A22" s="3" t="s">
        <v>42</v>
      </c>
      <c r="B22" s="3" t="s">
        <v>43</v>
      </c>
      <c r="C22" s="3" t="s">
        <v>44</v>
      </c>
      <c r="D22" s="3"/>
    </row>
    <row r="23" spans="1:2" x14ac:dyDescent="0.25">
      <c r="A23" s="4" t="s">
        <v>45</v>
      </c>
      <c r="B23" s="5" t="s">
        <v>46</v>
      </c>
    </row>
    <row r="24" spans="1:3" x14ac:dyDescent="0.25">
      <c r="A24" s="4" t="s">
        <v>47</v>
      </c>
      <c r="B24" s="9">
        <v>0</v>
      </c>
      <c r="C24" s="4" t="s">
        <v>48</v>
      </c>
    </row>
    <row r="25" spans="1:2" x14ac:dyDescent="0.25">
      <c r="A25" s="4" t="s">
        <v>49</v>
      </c>
      <c r="B25" s="10">
        <v>0.03</v>
      </c>
    </row>
    <row r="27" ht="24" customHeight="1" spans="1:7" x14ac:dyDescent="0.25">
      <c r="A27" s="3" t="s">
        <v>50</v>
      </c>
      <c r="B27" s="3" t="s">
        <v>26</v>
      </c>
      <c r="C27" s="3" t="s">
        <v>27</v>
      </c>
      <c r="D27" s="3" t="s">
        <v>28</v>
      </c>
      <c r="E27" s="3" t="s">
        <v>29</v>
      </c>
      <c r="F27" s="3" t="s">
        <v>32</v>
      </c>
      <c r="G27" s="3"/>
    </row>
    <row r="29" ht="24" customHeight="1" spans="1:8" x14ac:dyDescent="0.25">
      <c r="A29" s="3" t="s">
        <v>51</v>
      </c>
      <c r="B29" s="3" t="s">
        <v>52</v>
      </c>
      <c r="C29" s="3" t="s">
        <v>28</v>
      </c>
      <c r="D29" s="3" t="s">
        <v>53</v>
      </c>
      <c r="E29" s="3" t="s">
        <v>54</v>
      </c>
      <c r="F29" s="3" t="s">
        <v>55</v>
      </c>
      <c r="G29" s="3" t="s">
        <v>56</v>
      </c>
      <c r="H29" s="3" t="s">
        <v>32</v>
      </c>
    </row>
    <row r="31" ht="24" customHeight="1" spans="1:3" x14ac:dyDescent="0.25">
      <c r="A31" s="3" t="s">
        <v>57</v>
      </c>
      <c r="B31" s="3"/>
      <c r="C31" s="3"/>
    </row>
    <row r="32" spans="1:2" x14ac:dyDescent="0.25">
      <c r="A32" s="4" t="s">
        <v>58</v>
      </c>
      <c r="B32" s="10">
        <v>0.03</v>
      </c>
    </row>
    <row r="33" spans="1:2" x14ac:dyDescent="0.25">
      <c r="A33" s="4" t="s">
        <v>59</v>
      </c>
      <c r="B33" s="10">
        <v>0.03</v>
      </c>
    </row>
    <row r="34" spans="1:3" x14ac:dyDescent="0.25">
      <c r="A34" s="4" t="s">
        <v>60</v>
      </c>
      <c r="B34" s="11">
        <v>1</v>
      </c>
      <c r="C34" s="12" t="s">
        <v>61</v>
      </c>
    </row>
    <row r="35" spans="1:2" x14ac:dyDescent="0.25">
      <c r="A35" s="4" t="s">
        <v>62</v>
      </c>
      <c r="B35" s="10">
        <v>0.03</v>
      </c>
    </row>
    <row r="36" spans="1:2" x14ac:dyDescent="0.25">
      <c r="A36" s="4" t="s">
        <v>63</v>
      </c>
      <c r="B36" s="10">
        <v>0</v>
      </c>
    </row>
    <row r="37" spans="1:2" x14ac:dyDescent="0.25">
      <c r="A37" s="4" t="s">
        <v>64</v>
      </c>
      <c r="B37" s="9">
        <v>10000</v>
      </c>
    </row>
    <row r="39" ht="24" customHeight="1" spans="1:4" x14ac:dyDescent="0.25">
      <c r="A39" s="3" t="s">
        <v>65</v>
      </c>
      <c r="B39" s="7" t="s">
        <v>66</v>
      </c>
      <c r="C39" s="7" t="s">
        <v>67</v>
      </c>
      <c r="D39" s="3"/>
    </row>
    <row r="40" spans="1:3" x14ac:dyDescent="0.25">
      <c r="A40" s="4" t="s">
        <v>68</v>
      </c>
      <c r="B40" s="6">
        <v>8</v>
      </c>
      <c r="C40" s="6" t="s">
        <v>69</v>
      </c>
    </row>
    <row r="41" spans="1:3" x14ac:dyDescent="0.25">
      <c r="A41" s="4" t="s">
        <v>70</v>
      </c>
      <c r="B41" s="9">
        <v>50000</v>
      </c>
      <c r="C41" s="9" t="s">
        <v>69</v>
      </c>
    </row>
    <row r="42" spans="1:3" x14ac:dyDescent="0.25">
      <c r="A42" s="4" t="s">
        <v>71</v>
      </c>
      <c r="B42" s="9">
        <v>40000</v>
      </c>
      <c r="C42" s="9" t="s">
        <v>69</v>
      </c>
    </row>
    <row r="43" spans="1:3" x14ac:dyDescent="0.25">
      <c r="A43" s="4" t="s">
        <v>72</v>
      </c>
      <c r="B43" s="13" t="str">
        <f>B42-B43</f>
        <v>0</v>
      </c>
      <c r="C43" s="13"/>
    </row>
    <row r="44" spans="1:3" x14ac:dyDescent="0.25">
      <c r="A44" s="4" t="s">
        <v>73</v>
      </c>
      <c r="B44" s="9">
        <v>10000</v>
      </c>
      <c r="C44" s="9" t="s">
        <v>69</v>
      </c>
    </row>
    <row r="46" spans="1:7" x14ac:dyDescent="0.25">
      <c r="A46" s="14" t="s">
        <v>74</v>
      </c>
      <c r="B46" s="14"/>
      <c r="C46" s="14"/>
      <c r="D46" s="14"/>
      <c r="E46" s="14"/>
      <c r="F46" s="14"/>
      <c r="G46" s="14"/>
    </row>
  </sheetData>
  <mergeCells count="3">
    <mergeCell ref="A1:G1"/>
    <mergeCell ref="B5:D5"/>
    <mergeCell ref="A46:G46"/>
  </mergeCells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&amp;L&amp;10&amp;BTest School Automation&amp;R&amp;8&amp;IAssumptions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2"/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 outlineLevelRow="0" outlineLevelCol="0" x14ac:dyDescent="55"/>
  <cols>
    <col min="1" max="1" width="38" customWidth="1"/>
    <col min="2" max="6" width="16" customWidth="1"/>
  </cols>
  <sheetData>
    <row r="1" ht="32" customHeight="1" spans="1:6" x14ac:dyDescent="0.25">
      <c r="A1" s="1" t="s">
        <v>75</v>
      </c>
      <c r="B1" s="1"/>
      <c r="C1" s="1"/>
      <c r="D1" s="1"/>
      <c r="E1" s="1"/>
      <c r="F1" s="1"/>
    </row>
    <row r="2" ht="28" customHeight="1" spans="1:6" x14ac:dyDescent="0.25">
      <c r="A2" s="15" t="s">
        <v>69</v>
      </c>
      <c r="B2" s="15" t="s">
        <v>19</v>
      </c>
      <c r="C2" s="15" t="s">
        <v>20</v>
      </c>
      <c r="D2" s="15" t="s">
        <v>21</v>
      </c>
      <c r="E2" s="15" t="s">
        <v>22</v>
      </c>
      <c r="F2" s="15" t="s">
        <v>23</v>
      </c>
    </row>
    <row r="3" spans="1:6" x14ac:dyDescent="0.25">
      <c r="A3" s="16" t="s">
        <v>24</v>
      </c>
      <c r="B3" s="17" t="str">
        <f>Assumptions!B15</f>
        <v>0</v>
      </c>
      <c r="C3" s="17" t="str">
        <f>Assumptions!C15</f>
        <v>0</v>
      </c>
      <c r="D3" s="17" t="str">
        <f>Assumptions!D15</f>
        <v>0</v>
      </c>
      <c r="E3" s="17" t="str">
        <f>Assumptions!E15</f>
        <v>0</v>
      </c>
      <c r="F3" s="17" t="str">
        <f>Assumptions!F15</f>
        <v>0</v>
      </c>
    </row>
    <row r="5" ht="24" customHeight="1" spans="1:6" x14ac:dyDescent="0.25">
      <c r="A5" s="3" t="s">
        <v>76</v>
      </c>
      <c r="B5" s="3"/>
      <c r="C5" s="3"/>
      <c r="D5" s="3"/>
      <c r="E5" s="3"/>
      <c r="F5" s="3"/>
    </row>
    <row r="6" ht="24" customHeight="1" spans="1:6" x14ac:dyDescent="0.25">
      <c r="A6" s="3" t="s">
        <v>77</v>
      </c>
      <c r="B6" s="18" t="str">
        <f>SUM(B6:B5)</f>
        <v>0</v>
      </c>
      <c r="C6" s="18" t="str">
        <f>SUM(C6:C5)</f>
        <v>0</v>
      </c>
      <c r="D6" s="18" t="str">
        <f>SUM(D6:D5)</f>
        <v>0</v>
      </c>
      <c r="E6" s="18" t="str">
        <f>SUM(E6:E5)</f>
        <v>0</v>
      </c>
      <c r="F6" s="18" t="str">
        <f>SUM(F6:F5)</f>
        <v>0</v>
      </c>
    </row>
    <row r="8" ht="24" customHeight="1" spans="1:6" x14ac:dyDescent="0.25">
      <c r="A8" s="3" t="s">
        <v>78</v>
      </c>
      <c r="B8" s="3"/>
      <c r="C8" s="3"/>
      <c r="D8" s="3"/>
      <c r="E8" s="3"/>
      <c r="F8" s="3"/>
    </row>
    <row r="9" ht="24" customHeight="1" spans="1:6" x14ac:dyDescent="0.25">
      <c r="A9" s="3" t="s">
        <v>79</v>
      </c>
      <c r="B9" s="18" t="str">
        <f>SUM(B9:B8)</f>
        <v>0</v>
      </c>
      <c r="C9" s="18" t="str">
        <f>SUM(C9:C8)</f>
        <v>0</v>
      </c>
      <c r="D9" s="18" t="str">
        <f>SUM(D9:D8)</f>
        <v>0</v>
      </c>
      <c r="E9" s="18" t="str">
        <f>SUM(E9:E8)</f>
        <v>0</v>
      </c>
      <c r="F9" s="18" t="str">
        <f>SUM(F9:F8)</f>
        <v>0</v>
      </c>
    </row>
    <row r="11" ht="24" customHeight="1" spans="1:6" x14ac:dyDescent="0.25">
      <c r="A11" s="3" t="s">
        <v>50</v>
      </c>
      <c r="B11" s="3"/>
      <c r="C11" s="3"/>
      <c r="D11" s="3"/>
      <c r="E11" s="3"/>
      <c r="F11" s="3"/>
    </row>
    <row r="12" ht="24" customHeight="1" spans="1:6" x14ac:dyDescent="0.25">
      <c r="A12" s="3" t="s">
        <v>80</v>
      </c>
      <c r="B12" s="18" t="str">
        <f>SUM(B12:B11)</f>
        <v>0</v>
      </c>
      <c r="C12" s="18" t="str">
        <f>SUM(C12:C11)</f>
        <v>0</v>
      </c>
      <c r="D12" s="18" t="str">
        <f>SUM(D12:D11)</f>
        <v>0</v>
      </c>
      <c r="E12" s="18" t="str">
        <f>SUM(E12:E11)</f>
        <v>0</v>
      </c>
      <c r="F12" s="18" t="str">
        <f>SUM(F12:F11)</f>
        <v>0</v>
      </c>
    </row>
    <row r="14" ht="24" customHeight="1" spans="1:6" x14ac:dyDescent="0.25">
      <c r="A14" s="3" t="s">
        <v>81</v>
      </c>
      <c r="B14" s="3"/>
      <c r="C14" s="3"/>
      <c r="D14" s="3"/>
      <c r="E14" s="3"/>
      <c r="F14" s="3"/>
    </row>
    <row r="15" ht="24" customHeight="1" spans="1:6" x14ac:dyDescent="0.25">
      <c r="A15" s="3" t="s">
        <v>82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</row>
    <row r="17" ht="24" customHeight="1" spans="1:6" x14ac:dyDescent="0.25">
      <c r="A17" s="3" t="s">
        <v>83</v>
      </c>
      <c r="B17" s="3"/>
      <c r="C17" s="3"/>
      <c r="D17" s="3"/>
      <c r="E17" s="3"/>
      <c r="F17" s="3"/>
    </row>
    <row r="18" spans="1:6" x14ac:dyDescent="0.25">
      <c r="A18" s="16" t="s">
        <v>70</v>
      </c>
      <c r="B18" s="19" t="str">
        <f>B6</f>
        <v>0</v>
      </c>
      <c r="C18" s="19" t="str">
        <f>C6</f>
        <v>0</v>
      </c>
      <c r="D18" s="19" t="str">
        <f>D6</f>
        <v>0</v>
      </c>
      <c r="E18" s="19" t="str">
        <f>E6</f>
        <v>0</v>
      </c>
      <c r="F18" s="19" t="str">
        <f>F6</f>
        <v>0</v>
      </c>
    </row>
    <row r="19" spans="1:6" x14ac:dyDescent="0.25">
      <c r="A19" s="4" t="s">
        <v>84</v>
      </c>
      <c r="B19" s="13" t="str">
        <f>B9</f>
        <v>0</v>
      </c>
      <c r="C19" s="13" t="str">
        <f>C9</f>
        <v>0</v>
      </c>
      <c r="D19" s="13" t="str">
        <f>D9</f>
        <v>0</v>
      </c>
      <c r="E19" s="13" t="str">
        <f>E9</f>
        <v>0</v>
      </c>
      <c r="F19" s="13" t="str">
        <f>F9</f>
        <v>0</v>
      </c>
    </row>
    <row r="20" spans="1:6" x14ac:dyDescent="0.25">
      <c r="A20" s="4" t="s">
        <v>85</v>
      </c>
      <c r="B20" s="13" t="str">
        <f>B12</f>
        <v>0</v>
      </c>
      <c r="C20" s="13" t="str">
        <f>C12</f>
        <v>0</v>
      </c>
      <c r="D20" s="13" t="str">
        <f>D12</f>
        <v>0</v>
      </c>
      <c r="E20" s="13" t="str">
        <f>E12</f>
        <v>0</v>
      </c>
      <c r="F20" s="13" t="str">
        <f>F12</f>
        <v>0</v>
      </c>
    </row>
    <row r="21" spans="1:6" x14ac:dyDescent="0.25">
      <c r="A21" s="4" t="s">
        <v>86</v>
      </c>
      <c r="B21" s="13" t="str">
        <f>B15</f>
        <v>0</v>
      </c>
      <c r="C21" s="13" t="str">
        <f>C15</f>
        <v>0</v>
      </c>
      <c r="D21" s="13" t="str">
        <f>D15</f>
        <v>0</v>
      </c>
      <c r="E21" s="13" t="str">
        <f>E15</f>
        <v>0</v>
      </c>
      <c r="F21" s="13" t="str">
        <f>F15</f>
        <v>0</v>
      </c>
    </row>
    <row r="22" spans="1:6" x14ac:dyDescent="0.25">
      <c r="A22" s="16" t="s">
        <v>71</v>
      </c>
      <c r="B22" s="19" t="str">
        <f>B19+B20+B21</f>
        <v>0</v>
      </c>
      <c r="C22" s="19" t="str">
        <f>C19+C20+C21</f>
        <v>0</v>
      </c>
      <c r="D22" s="19" t="str">
        <f>D19+D20+D21</f>
        <v>0</v>
      </c>
      <c r="E22" s="19" t="str">
        <f>E19+E20+E21</f>
        <v>0</v>
      </c>
      <c r="F22" s="19" t="str">
        <f>F19+F20+F21</f>
        <v>0</v>
      </c>
    </row>
    <row r="23" spans="1:1" x14ac:dyDescent="0.25">
      <c r="A23" t="s">
        <v>69</v>
      </c>
    </row>
    <row r="24" spans="1:6" x14ac:dyDescent="0.25">
      <c r="A24" s="20" t="s">
        <v>87</v>
      </c>
      <c r="B24" s="21" t="str">
        <f>B18-B22</f>
        <v>0</v>
      </c>
      <c r="C24" s="21" t="str">
        <f>C18-C22</f>
        <v>0</v>
      </c>
      <c r="D24" s="21" t="str">
        <f>D18-D22</f>
        <v>0</v>
      </c>
      <c r="E24" s="21" t="str">
        <f>E18-E22</f>
        <v>0</v>
      </c>
      <c r="F24" s="21" t="str">
        <f>F18-F22</f>
        <v>0</v>
      </c>
    </row>
    <row r="25" spans="1:6" x14ac:dyDescent="0.25">
      <c r="A25" s="4" t="s">
        <v>88</v>
      </c>
      <c r="B25" s="22" t="str">
        <f>IF(B18=0,"",B24/B18)</f>
        <v>0</v>
      </c>
      <c r="C25" s="22" t="str">
        <f>IF(C18=0,"",C24/C18)</f>
        <v>0</v>
      </c>
      <c r="D25" s="22" t="str">
        <f>IF(D18=0,"",D24/D18)</f>
        <v>0</v>
      </c>
      <c r="E25" s="22" t="str">
        <f>IF(E18=0,"",E24/E18)</f>
        <v>0</v>
      </c>
      <c r="F25" s="22" t="str">
        <f>IF(F18=0,"",F24/F18)</f>
        <v>0</v>
      </c>
    </row>
    <row r="26" spans="1:6" x14ac:dyDescent="0.25">
      <c r="A26" s="4" t="s">
        <v>89</v>
      </c>
      <c r="B26" s="13" t="str">
        <f>B24</f>
        <v>0</v>
      </c>
      <c r="C26" s="13" t="str">
        <f>B26+C24</f>
        <v>0</v>
      </c>
      <c r="D26" s="13" t="str">
        <f>C26+D24</f>
        <v>0</v>
      </c>
      <c r="E26" s="13" t="str">
        <f>D26+E24</f>
        <v>0</v>
      </c>
      <c r="F26" s="13" t="str">
        <f>E26+F24</f>
        <v>0</v>
      </c>
    </row>
    <row r="28" ht="24" customHeight="1" spans="1:6" x14ac:dyDescent="0.25">
      <c r="A28" s="3" t="s">
        <v>90</v>
      </c>
      <c r="B28" s="3"/>
      <c r="C28" s="3"/>
      <c r="D28" s="3"/>
      <c r="E28" s="3"/>
      <c r="F28" s="3"/>
    </row>
    <row r="29" spans="1:6" x14ac:dyDescent="0.25">
      <c r="A29" s="16" t="s">
        <v>91</v>
      </c>
      <c r="B29" s="19" t="str">
        <f>B18-B19-B20</f>
        <v>0</v>
      </c>
      <c r="C29" s="19" t="str">
        <f>C18-C19-C20</f>
        <v>0</v>
      </c>
      <c r="D29" s="19" t="str">
        <f>D18-D19-D20</f>
        <v>0</v>
      </c>
      <c r="E29" s="19" t="str">
        <f>E18-E19-E20</f>
        <v>0</v>
      </c>
      <c r="F29" s="19" t="str">
        <f>F18-F19-F20</f>
        <v>0</v>
      </c>
    </row>
    <row r="30" spans="1:6" x14ac:dyDescent="0.25">
      <c r="A30" s="4" t="s">
        <v>92</v>
      </c>
      <c r="B30" s="13" t="str">
        <f>B21</f>
        <v>0</v>
      </c>
      <c r="C30" s="13" t="str">
        <f>C21</f>
        <v>0</v>
      </c>
      <c r="D30" s="13" t="str">
        <f>D21</f>
        <v>0</v>
      </c>
      <c r="E30" s="13" t="str">
        <f>E21</f>
        <v>0</v>
      </c>
      <c r="F30" s="13" t="str">
        <f>F21</f>
        <v>0</v>
      </c>
    </row>
    <row r="31" spans="1:6" x14ac:dyDescent="0.25">
      <c r="A31" s="16" t="s">
        <v>93</v>
      </c>
      <c r="B31" s="23" t="str">
        <f>IF(B30=0,"N/A",B29/B30)</f>
        <v>0</v>
      </c>
      <c r="C31" s="23" t="str">
        <f>IF(C30=0,"N/A",C29/C30)</f>
        <v>0</v>
      </c>
      <c r="D31" s="23" t="str">
        <f>IF(D30=0,"N/A",D29/D30)</f>
        <v>0</v>
      </c>
      <c r="E31" s="23" t="str">
        <f>IF(E30=0,"N/A",E29/E30)</f>
        <v>0</v>
      </c>
      <c r="F31" s="23" t="str">
        <f>IF(F30=0,"N/A",F29/F30)</f>
        <v>0</v>
      </c>
    </row>
    <row r="32" spans="1:6" x14ac:dyDescent="0.25">
      <c r="A32" s="4" t="s">
        <v>64</v>
      </c>
      <c r="B32" s="13">
        <f>Assumptions!B37</f>
        <v>10000</v>
      </c>
      <c r="C32" s="13" t="str">
        <f>B33</f>
        <v>0</v>
      </c>
      <c r="D32" s="13" t="str">
        <f>C33</f>
        <v>0</v>
      </c>
      <c r="E32" s="13" t="str">
        <f>D33</f>
        <v>0</v>
      </c>
      <c r="F32" s="13" t="str">
        <f>E33</f>
        <v>0</v>
      </c>
    </row>
    <row r="33" spans="1:6" x14ac:dyDescent="0.25">
      <c r="A33" s="16" t="s">
        <v>73</v>
      </c>
      <c r="B33" s="19" t="str">
        <f>B32+B24</f>
        <v>0</v>
      </c>
      <c r="C33" s="19" t="str">
        <f>C32+C24</f>
        <v>0</v>
      </c>
      <c r="D33" s="19" t="str">
        <f>D32+D24</f>
        <v>0</v>
      </c>
      <c r="E33" s="19" t="str">
        <f>E32+E24</f>
        <v>0</v>
      </c>
      <c r="F33" s="19" t="str">
        <f>F32+F24</f>
        <v>0</v>
      </c>
    </row>
    <row r="34" spans="1:6" x14ac:dyDescent="0.25">
      <c r="A34" s="4" t="s">
        <v>94</v>
      </c>
      <c r="B34" s="24" t="str">
        <f>IF(B22=0,"",B33/B22*365)</f>
        <v>0</v>
      </c>
      <c r="C34" s="24" t="str">
        <f>IF(C22=0,"",C33/C22*365)</f>
        <v>0</v>
      </c>
      <c r="D34" s="24" t="str">
        <f>IF(D22=0,"",D33/D22*365)</f>
        <v>0</v>
      </c>
      <c r="E34" s="24" t="str">
        <f>IF(E22=0,"",E33/E22*365)</f>
        <v>0</v>
      </c>
      <c r="F34" s="24" t="str">
        <f>IF(F22=0,"",F33/F22*365)</f>
        <v>0</v>
      </c>
    </row>
    <row r="35" spans="1:6" x14ac:dyDescent="0.25">
      <c r="A35" s="4" t="s">
        <v>95</v>
      </c>
      <c r="B35" s="25" t="str">
        <f>IF(B22=0,"",B33/(B22/12))</f>
        <v>0</v>
      </c>
      <c r="C35" s="25" t="str">
        <f>IF(C22=0,"",C33/(C22/12))</f>
        <v>0</v>
      </c>
      <c r="D35" s="25" t="str">
        <f>IF(D22=0,"",D33/(D22/12))</f>
        <v>0</v>
      </c>
      <c r="E35" s="25" t="str">
        <f>IF(E22=0,"",E33/(E22/12))</f>
        <v>0</v>
      </c>
      <c r="F35" s="25" t="str">
        <f>IF(F22=0,"",F33/(F22/12))</f>
        <v>0</v>
      </c>
    </row>
    <row r="36" spans="1:6" x14ac:dyDescent="0.25">
      <c r="A36" s="4" t="s">
        <v>96</v>
      </c>
      <c r="B36" s="22" t="str">
        <f>IF(Assumptions!B11=0,"",B3/Assumptions!B11)</f>
        <v>0</v>
      </c>
      <c r="C36" s="22" t="str">
        <f>IF(Assumptions!B11=0,"",C3/Assumptions!B11)</f>
        <v>0</v>
      </c>
      <c r="D36" s="22" t="str">
        <f>IF(Assumptions!B11=0,"",D3/Assumptions!B11)</f>
        <v>0</v>
      </c>
      <c r="E36" s="22" t="str">
        <f>IF(Assumptions!B11=0,"",E3/Assumptions!B11)</f>
        <v>0</v>
      </c>
      <c r="F36" s="22" t="str">
        <f>IF(Assumptions!B11=0,"",F3/Assumptions!B11)</f>
        <v>0</v>
      </c>
    </row>
    <row r="38" ht="24" customHeight="1" spans="1:6" x14ac:dyDescent="0.25">
      <c r="A38" s="3" t="s">
        <v>97</v>
      </c>
      <c r="B38" s="3"/>
      <c r="C38" s="3"/>
      <c r="D38" s="3"/>
      <c r="E38" s="3"/>
      <c r="F38" s="3"/>
    </row>
    <row r="39" spans="1:6" x14ac:dyDescent="0.25">
      <c r="A39" s="4" t="s">
        <v>98</v>
      </c>
      <c r="B39" s="4" t="str">
        <f>IF(B30=0,"N/A",IF(B31&gt;=1.2,"PASS","FAIL"))</f>
        <v>0</v>
      </c>
      <c r="C39" s="4" t="str">
        <f>IF(C30=0,"N/A",IF(C31&gt;=1.2,"PASS","FAIL"))</f>
        <v>0</v>
      </c>
      <c r="D39" s="4" t="str">
        <f>IF(D30=0,"N/A",IF(D31&gt;=1.2,"PASS","FAIL"))</f>
        <v>0</v>
      </c>
      <c r="E39" s="4" t="str">
        <f>IF(E30=0,"N/A",IF(E31&gt;=1.2,"PASS","FAIL"))</f>
        <v>0</v>
      </c>
      <c r="F39" s="4" t="str">
        <f>IF(F30=0,"N/A",IF(F31&gt;=1.2,"PASS","FAIL"))</f>
        <v>0</v>
      </c>
    </row>
    <row r="40" spans="1:6" x14ac:dyDescent="0.25">
      <c r="A40" s="4" t="s">
        <v>99</v>
      </c>
      <c r="B40" s="4" t="str">
        <f>IF(B24&gt;0,"PASS","FAIL")</f>
        <v>0</v>
      </c>
      <c r="C40" s="4" t="str">
        <f>IF(C24&gt;0,"PASS","FAIL")</f>
        <v>0</v>
      </c>
      <c r="D40" s="4" t="str">
        <f>IF(D24&gt;0,"PASS","FAIL")</f>
        <v>0</v>
      </c>
      <c r="E40" s="4" t="str">
        <f>IF(E24&gt;0,"PASS","FAIL")</f>
        <v>0</v>
      </c>
      <c r="F40" s="4" t="str">
        <f>IF(F24&gt;0,"PASS","FAIL")</f>
        <v>0</v>
      </c>
    </row>
    <row r="41" spans="1:6" x14ac:dyDescent="0.25">
      <c r="A41" s="4" t="s">
        <v>100</v>
      </c>
      <c r="B41" s="4" t="str">
        <f>IF(Assumptions!B11=0,"N/A",IF(B3/Assumptions!B11&gt;=0.7,"PASS","FAIL"))</f>
        <v>0</v>
      </c>
      <c r="C41" s="4" t="str">
        <f>IF(Assumptions!B11=0,"N/A",IF(C3/Assumptions!B11&gt;=0.7,"PASS","FAIL"))</f>
        <v>0</v>
      </c>
      <c r="D41" s="4" t="str">
        <f>IF(Assumptions!B11=0,"N/A",IF(D3/Assumptions!B11&gt;=0.7,"PASS","FAIL"))</f>
        <v>0</v>
      </c>
      <c r="E41" s="4" t="str">
        <f>IF(Assumptions!B11=0,"N/A",IF(E3/Assumptions!B11&gt;=0.7,"PASS","FAIL"))</f>
        <v>0</v>
      </c>
      <c r="F41" s="4" t="str">
        <f>IF(Assumptions!B11=0,"N/A",IF(F3/Assumptions!B11&gt;=0.7,"PASS","FAIL"))</f>
        <v>0</v>
      </c>
    </row>
    <row r="42" spans="1:6" x14ac:dyDescent="0.25">
      <c r="A42" s="4" t="s">
        <v>101</v>
      </c>
      <c r="B42" s="4" t="str">
        <f>IF(B22=0,"N/A",IF(B33/(B22/12)&gt;=2,"PASS","FAIL"))</f>
        <v>0</v>
      </c>
      <c r="C42" s="4" t="str">
        <f>IF(C22=0,"N/A",IF(C33/(C22/12)&gt;=2,"PASS","FAIL"))</f>
        <v>0</v>
      </c>
      <c r="D42" s="4" t="str">
        <f>IF(D22=0,"N/A",IF(D33/(D22/12)&gt;=2,"PASS","FAIL"))</f>
        <v>0</v>
      </c>
      <c r="E42" s="4" t="str">
        <f>IF(E22=0,"N/A",IF(E33/(E22/12)&gt;=2,"PASS","FAIL"))</f>
        <v>0</v>
      </c>
      <c r="F42" s="4" t="str">
        <f>IF(F22=0,"N/A",IF(F33/(F22/12)&gt;=2,"PASS","FAIL"))</f>
        <v>0</v>
      </c>
    </row>
    <row r="44" ht="24" customHeight="1" spans="1:6" x14ac:dyDescent="0.25">
      <c r="A44" s="3" t="s">
        <v>102</v>
      </c>
      <c r="B44" s="3"/>
      <c r="C44" s="3"/>
      <c r="D44" s="3"/>
      <c r="E44" s="3"/>
      <c r="F44" s="3"/>
    </row>
    <row r="45" spans="1:6" x14ac:dyDescent="0.25">
      <c r="A45" s="4" t="s">
        <v>103</v>
      </c>
      <c r="B45" s="13" t="str">
        <f>IF(B3=0,"",B6/B3)</f>
        <v>0</v>
      </c>
      <c r="C45" s="13" t="str">
        <f>IF(C3=0,"",C6/C3)</f>
        <v>0</v>
      </c>
      <c r="D45" s="13" t="str">
        <f>IF(D3=0,"",D6/D3)</f>
        <v>0</v>
      </c>
      <c r="E45" s="13" t="str">
        <f>IF(E3=0,"",E6/E3)</f>
        <v>0</v>
      </c>
      <c r="F45" s="13" t="str">
        <f>IF(F3=0,"",F6/F3)</f>
        <v>0</v>
      </c>
    </row>
    <row r="46" spans="1:6" x14ac:dyDescent="0.25">
      <c r="A46" s="4" t="s">
        <v>104</v>
      </c>
      <c r="B46" s="13" t="str">
        <f>IF(B3=0,"",B22/B3)</f>
        <v>0</v>
      </c>
      <c r="C46" s="13" t="str">
        <f>IF(C3=0,"",C22/C3)</f>
        <v>0</v>
      </c>
      <c r="D46" s="13" t="str">
        <f>IF(D3=0,"",D22/D3)</f>
        <v>0</v>
      </c>
      <c r="E46" s="13" t="str">
        <f>IF(E3=0,"",E22/E3)</f>
        <v>0</v>
      </c>
      <c r="F46" s="13" t="str">
        <f>IF(F3=0,"",F22/F3)</f>
        <v>0</v>
      </c>
    </row>
    <row r="47" spans="1:6" x14ac:dyDescent="0.25">
      <c r="A47" s="4" t="s">
        <v>105</v>
      </c>
      <c r="B47" s="13" t="str">
        <f>B19+B21</f>
        <v>0</v>
      </c>
      <c r="C47" s="13" t="str">
        <f>C19+C21</f>
        <v>0</v>
      </c>
      <c r="D47" s="13" t="str">
        <f>D19+D21</f>
        <v>0</v>
      </c>
      <c r="E47" s="13" t="str">
        <f>E19+E21</f>
        <v>0</v>
      </c>
      <c r="F47" s="13" t="str">
        <f>F19+F21</f>
        <v>0</v>
      </c>
    </row>
    <row r="48" spans="1:6" x14ac:dyDescent="0.25">
      <c r="A48" s="4" t="s">
        <v>106</v>
      </c>
      <c r="B48" s="13" t="str">
        <f>IF(B3=0,"",B20/B3)</f>
        <v>0</v>
      </c>
      <c r="C48" s="13" t="str">
        <f>IF(C3=0,"",C20/C3)</f>
        <v>0</v>
      </c>
      <c r="D48" s="13" t="str">
        <f>IF(D3=0,"",D20/D3)</f>
        <v>0</v>
      </c>
      <c r="E48" s="13" t="str">
        <f>IF(E3=0,"",E20/E3)</f>
        <v>0</v>
      </c>
      <c r="F48" s="13" t="str">
        <f>IF(F3=0,"",F20/F3)</f>
        <v>0</v>
      </c>
    </row>
    <row r="49" spans="1:6" x14ac:dyDescent="0.25">
      <c r="A49" s="4" t="s">
        <v>107</v>
      </c>
      <c r="B49" s="13" t="str">
        <f>IF(B3=0,"",B45-B48)</f>
        <v>0</v>
      </c>
      <c r="C49" s="13" t="str">
        <f>IF(C3=0,"",C45-C48)</f>
        <v>0</v>
      </c>
      <c r="D49" s="13" t="str">
        <f>IF(D3=0,"",D45-D48)</f>
        <v>0</v>
      </c>
      <c r="E49" s="13" t="str">
        <f>IF(E3=0,"",E45-E48)</f>
        <v>0</v>
      </c>
      <c r="F49" s="13" t="str">
        <f>IF(F3=0,"",F45-F48)</f>
        <v>0</v>
      </c>
    </row>
    <row r="50" spans="1:6" x14ac:dyDescent="0.25">
      <c r="A50" s="26" t="s">
        <v>108</v>
      </c>
      <c r="B50" s="27" t="str">
        <f>IF(B49&lt;=0,"N/A",ROUNDUP(B47/B49,0))</f>
        <v>0</v>
      </c>
      <c r="C50" s="27" t="str">
        <f>IF(C49&lt;=0,"N/A",ROUNDUP(C47/C49,0))</f>
        <v>0</v>
      </c>
      <c r="D50" s="27" t="str">
        <f>IF(D49&lt;=0,"N/A",ROUNDUP(D47/D49,0))</f>
        <v>0</v>
      </c>
      <c r="E50" s="27" t="str">
        <f>IF(E49&lt;=0,"N/A",ROUNDUP(E47/E49,0))</f>
        <v>0</v>
      </c>
      <c r="F50" s="27" t="str">
        <f>IF(F49&lt;=0,"N/A",ROUNDUP(F47/F49,0))</f>
        <v>0</v>
      </c>
    </row>
    <row r="52" spans="1:6" x14ac:dyDescent="0.25">
      <c r="A52" s="14" t="s">
        <v>74</v>
      </c>
      <c r="B52" s="14"/>
      <c r="C52" s="14"/>
      <c r="D52" s="14"/>
      <c r="E52" s="14"/>
      <c r="F52" s="14"/>
    </row>
  </sheetData>
  <mergeCells count="2">
    <mergeCell ref="A1:F1"/>
    <mergeCell ref="A52:F52"/>
  </mergeCells>
  <pageMargins left="0.25" right="0.25" top="0.5" bottom="0.5" header="0.3" footer="0.3"/>
  <pageSetup paperSize="1" orientation="portrait" horizontalDpi="4294967295" verticalDpi="4294967295" scale="100" fitToWidth="1" fitToHeight="0"/>
  <headerFooter>
    <oddHeader>&amp;L&amp;10&amp;BTest School Automation&amp;R&amp;8&amp;I5-Year Model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4"/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 outlineLevelRow="0" outlineLevelCol="0" x14ac:dyDescent="55"/>
  <cols>
    <col min="1" max="1" width="36" customWidth="1"/>
    <col min="2" max="13" width="14" customWidth="1"/>
    <col min="14" max="14" width="16" customWidth="1"/>
  </cols>
  <sheetData>
    <row r="1" ht="32" customHeight="1" spans="1:14" x14ac:dyDescent="0.25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" customHeight="1" spans="1:14" x14ac:dyDescent="0.25">
      <c r="A2" s="15" t="s">
        <v>69</v>
      </c>
      <c r="B2" s="15" t="s">
        <v>14</v>
      </c>
      <c r="C2" s="15" t="s">
        <v>110</v>
      </c>
      <c r="D2" s="15" t="s">
        <v>111</v>
      </c>
      <c r="E2" s="15" t="s">
        <v>112</v>
      </c>
      <c r="F2" s="15" t="s">
        <v>113</v>
      </c>
      <c r="G2" s="15" t="s">
        <v>114</v>
      </c>
      <c r="H2" s="15" t="s">
        <v>115</v>
      </c>
      <c r="I2" s="15" t="s">
        <v>116</v>
      </c>
      <c r="J2" s="15" t="s">
        <v>117</v>
      </c>
      <c r="K2" s="15" t="s">
        <v>118</v>
      </c>
      <c r="L2" s="15" t="s">
        <v>119</v>
      </c>
      <c r="M2" s="15" t="s">
        <v>120</v>
      </c>
      <c r="N2" s="15" t="s">
        <v>121</v>
      </c>
    </row>
    <row r="3" ht="24" customHeight="1" spans="1:14" x14ac:dyDescent="0.25">
      <c r="A3" s="3" t="s">
        <v>76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24" customHeight="1" spans="1:14" x14ac:dyDescent="0.25">
      <c r="A4" s="3" t="s">
        <v>77</v>
      </c>
      <c r="B4" s="18">
        <v>0</v>
      </c>
      <c r="C4" s="18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 t="str">
        <f>SUM(B4:M4)</f>
        <v>0</v>
      </c>
    </row>
    <row r="5" spans="1:1" x14ac:dyDescent="0.25">
      <c r="A5" t="s">
        <v>69</v>
      </c>
    </row>
    <row r="6" ht="24" customHeight="1" spans="1:14" x14ac:dyDescent="0.25">
      <c r="A6" s="3" t="s">
        <v>78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24" customHeight="1" spans="1:14" x14ac:dyDescent="0.25">
      <c r="A7" s="3" t="s">
        <v>79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 t="str">
        <f>SUM(B7:M7)</f>
        <v>0</v>
      </c>
    </row>
    <row r="8" spans="1:1" x14ac:dyDescent="0.25">
      <c r="A8" t="s">
        <v>69</v>
      </c>
    </row>
    <row r="9" ht="24" customHeight="1" spans="1:14" x14ac:dyDescent="0.25">
      <c r="A9" s="3" t="s">
        <v>50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24" customHeight="1" spans="1:14" x14ac:dyDescent="0.25">
      <c r="A10" s="3" t="s">
        <v>80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 t="str">
        <f>SUM(B10:M10)</f>
        <v>0</v>
      </c>
    </row>
    <row r="11" spans="1:1" x14ac:dyDescent="0.25">
      <c r="A11" t="s">
        <v>69</v>
      </c>
    </row>
    <row r="12" spans="1:14" x14ac:dyDescent="0.25">
      <c r="A12" s="16" t="s">
        <v>122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 t="str">
        <f>SUM(B12:M12)</f>
        <v>0</v>
      </c>
    </row>
    <row r="13" spans="1:1" x14ac:dyDescent="0.25">
      <c r="A13" t="s">
        <v>69</v>
      </c>
    </row>
    <row r="14" ht="24" customHeight="1" spans="1:14" x14ac:dyDescent="0.25">
      <c r="A14" s="3" t="s">
        <v>123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A15" s="16" t="s">
        <v>71</v>
      </c>
      <c r="B15" s="19" t="str">
        <f>B7+B10+B12</f>
        <v>0</v>
      </c>
      <c r="C15" s="19" t="str">
        <f>C7+C10+C12</f>
        <v>0</v>
      </c>
      <c r="D15" s="19" t="str">
        <f>D7+D10+D12</f>
        <v>0</v>
      </c>
      <c r="E15" s="19" t="str">
        <f>E7+E10+E12</f>
        <v>0</v>
      </c>
      <c r="F15" s="19" t="str">
        <f>F7+F10+F12</f>
        <v>0</v>
      </c>
      <c r="G15" s="19" t="str">
        <f>G7+G10+G12</f>
        <v>0</v>
      </c>
      <c r="H15" s="19" t="str">
        <f>H7+H10+H12</f>
        <v>0</v>
      </c>
      <c r="I15" s="19" t="str">
        <f>I7+I10+I12</f>
        <v>0</v>
      </c>
      <c r="J15" s="19" t="str">
        <f>J7+J10+J12</f>
        <v>0</v>
      </c>
      <c r="K15" s="19" t="str">
        <f>K7+K10+K12</f>
        <v>0</v>
      </c>
      <c r="L15" s="19" t="str">
        <f>L7+L10+L12</f>
        <v>0</v>
      </c>
      <c r="M15" s="19" t="str">
        <f>M7+M10+M12</f>
        <v>0</v>
      </c>
      <c r="N15" s="19" t="str">
        <f>SUM(B15:M15)</f>
        <v>0</v>
      </c>
    </row>
    <row r="16" spans="1:14" x14ac:dyDescent="0.25">
      <c r="A16" s="16" t="s">
        <v>124</v>
      </c>
      <c r="B16" s="19" t="str">
        <f>B4-B15</f>
        <v>0</v>
      </c>
      <c r="C16" s="19" t="str">
        <f>C4-C15</f>
        <v>0</v>
      </c>
      <c r="D16" s="19" t="str">
        <f>D4-D15</f>
        <v>0</v>
      </c>
      <c r="E16" s="19" t="str">
        <f>E4-E15</f>
        <v>0</v>
      </c>
      <c r="F16" s="19" t="str">
        <f>F4-F15</f>
        <v>0</v>
      </c>
      <c r="G16" s="19" t="str">
        <f>G4-G15</f>
        <v>0</v>
      </c>
      <c r="H16" s="19" t="str">
        <f>H4-H15</f>
        <v>0</v>
      </c>
      <c r="I16" s="19" t="str">
        <f>I4-I15</f>
        <v>0</v>
      </c>
      <c r="J16" s="19" t="str">
        <f>J4-J15</f>
        <v>0</v>
      </c>
      <c r="K16" s="19" t="str">
        <f>K4-K15</f>
        <v>0</v>
      </c>
      <c r="L16" s="19" t="str">
        <f>L4-L15</f>
        <v>0</v>
      </c>
      <c r="M16" s="19" t="str">
        <f>M4-M15</f>
        <v>0</v>
      </c>
      <c r="N16" s="19" t="str">
        <f>SUM(B16:M16)</f>
        <v>0</v>
      </c>
    </row>
    <row r="17" spans="1:14" x14ac:dyDescent="0.25">
      <c r="A17" s="16" t="s">
        <v>125</v>
      </c>
      <c r="B17" s="19" t="str">
        <f>10000+B16</f>
        <v>0</v>
      </c>
      <c r="C17" s="19" t="str">
        <f>B17+C16</f>
        <v>0</v>
      </c>
      <c r="D17" s="19" t="str">
        <f>C17+D16</f>
        <v>0</v>
      </c>
      <c r="E17" s="19" t="str">
        <f>D17+E16</f>
        <v>0</v>
      </c>
      <c r="F17" s="19" t="str">
        <f>E17+F16</f>
        <v>0</v>
      </c>
      <c r="G17" s="19" t="str">
        <f>F17+G16</f>
        <v>0</v>
      </c>
      <c r="H17" s="19" t="str">
        <f>G17+H16</f>
        <v>0</v>
      </c>
      <c r="I17" s="19" t="str">
        <f>H17+I16</f>
        <v>0</v>
      </c>
      <c r="J17" s="19" t="str">
        <f>I17+J16</f>
        <v>0</v>
      </c>
      <c r="K17" s="19" t="str">
        <f>J17+K16</f>
        <v>0</v>
      </c>
      <c r="L17" s="19" t="str">
        <f>K17+L16</f>
        <v>0</v>
      </c>
      <c r="M17" s="19" t="str">
        <f>L17+M16</f>
        <v>0</v>
      </c>
      <c r="N17" s="19" t="str">
        <f>M17</f>
        <v>0</v>
      </c>
    </row>
    <row r="19" ht="24" customHeight="1" spans="1:3" x14ac:dyDescent="0.25">
      <c r="A19" s="3" t="s">
        <v>126</v>
      </c>
      <c r="B19" s="3"/>
      <c r="C19" s="3"/>
    </row>
    <row r="20" spans="1:2" x14ac:dyDescent="0.25">
      <c r="A20" s="4" t="s">
        <v>64</v>
      </c>
      <c r="B20" s="13">
        <v>10000</v>
      </c>
    </row>
    <row r="21" spans="1:2" x14ac:dyDescent="0.25">
      <c r="A21" s="4" t="s">
        <v>127</v>
      </c>
      <c r="B21" s="19" t="str">
        <f>M17</f>
        <v>0</v>
      </c>
    </row>
    <row r="22" spans="1:2" x14ac:dyDescent="0.25">
      <c r="A22" s="4" t="s">
        <v>128</v>
      </c>
      <c r="B22" s="13" t="str">
        <f>MIN(B17:M17)</f>
        <v>0</v>
      </c>
    </row>
    <row r="24" spans="1:14" x14ac:dyDescent="0.25">
      <c r="A24" s="14" t="s">
        <v>74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</sheetData>
  <mergeCells count="2">
    <mergeCell ref="A1:N1"/>
    <mergeCell ref="A24:N24"/>
  </mergeCells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&amp;L&amp;10&amp;BTest School Automation&amp;R&amp;8&amp;IYear 1 Pro Forma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21"/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 outlineLevelRow="0" outlineLevelCol="0" x14ac:dyDescent="55"/>
  <cols>
    <col min="1" max="1" width="36" customWidth="1"/>
    <col min="2" max="5" width="22" customWidth="1"/>
  </cols>
  <sheetData>
    <row r="1" ht="32" customHeight="1" spans="2:5" x14ac:dyDescent="0.25">
      <c r="A1" s="1" t="s">
        <v>129</v>
      </c>
      <c r="B1" s="1"/>
      <c r="C1" s="1"/>
      <c r="D1" s="1"/>
      <c r="E1" s="1"/>
    </row>
    <row r="2" ht="28" customHeight="1" spans="2:5" x14ac:dyDescent="0.25">
      <c r="A2" s="15" t="s">
        <v>69</v>
      </c>
      <c r="B2" s="15" t="s">
        <v>130</v>
      </c>
      <c r="C2" s="15" t="s">
        <v>131</v>
      </c>
      <c r="D2" s="15" t="s">
        <v>132</v>
      </c>
      <c r="E2" s="15" t="s">
        <v>133</v>
      </c>
    </row>
    <row r="3" ht="24" customHeight="1" spans="2:5" x14ac:dyDescent="0.25">
      <c r="A3" s="3" t="s">
        <v>134</v>
      </c>
      <c r="B3" s="3"/>
      <c r="C3" s="3"/>
      <c r="D3" s="3"/>
      <c r="E3" s="3"/>
    </row>
    <row r="4" spans="2:5" x14ac:dyDescent="0.25">
      <c r="A4" s="16" t="s">
        <v>68</v>
      </c>
      <c r="B4" s="24">
        <v>8</v>
      </c>
      <c r="C4" s="24">
        <v>0</v>
      </c>
      <c r="D4" s="24">
        <v>0</v>
      </c>
      <c r="E4" s="28">
        <v>-1</v>
      </c>
    </row>
    <row r="5" spans="2:5" x14ac:dyDescent="0.25">
      <c r="A5" s="16" t="s">
        <v>70</v>
      </c>
      <c r="B5" s="13">
        <v>50000</v>
      </c>
      <c r="C5" s="13">
        <v>0</v>
      </c>
      <c r="D5" s="13">
        <v>0</v>
      </c>
      <c r="E5" s="29">
        <v>-1</v>
      </c>
    </row>
    <row r="6" spans="2:4" x14ac:dyDescent="0.25">
      <c r="A6" s="16" t="s">
        <v>71</v>
      </c>
      <c r="B6" s="13">
        <v>40000</v>
      </c>
      <c r="C6" s="13">
        <v>0</v>
      </c>
      <c r="D6" s="13">
        <v>0</v>
      </c>
    </row>
    <row r="7" spans="2:4" x14ac:dyDescent="0.25">
      <c r="A7" s="16" t="s">
        <v>72</v>
      </c>
      <c r="B7" s="13">
        <v>10000</v>
      </c>
      <c r="C7" s="13">
        <v>0</v>
      </c>
      <c r="D7" s="13">
        <v>0</v>
      </c>
    </row>
    <row r="8" spans="2:2" x14ac:dyDescent="0.25">
      <c r="A8" s="16" t="s">
        <v>135</v>
      </c>
      <c r="B8" s="13">
        <v>10000</v>
      </c>
    </row>
    <row r="10" ht="24" customHeight="1" spans="2:5" x14ac:dyDescent="0.25">
      <c r="A10" s="3" t="s">
        <v>136</v>
      </c>
      <c r="B10" s="3"/>
      <c r="C10" s="3"/>
      <c r="D10" s="3"/>
      <c r="E10" s="3"/>
    </row>
    <row r="11" spans="2:2" x14ac:dyDescent="0.25">
      <c r="A11" s="4" t="s">
        <v>103</v>
      </c>
      <c r="B11" s="13">
        <v>6250</v>
      </c>
    </row>
    <row r="12" spans="2:2" x14ac:dyDescent="0.25">
      <c r="A12" s="4" t="s">
        <v>137</v>
      </c>
      <c r="B12" s="13">
        <v>5000</v>
      </c>
    </row>
    <row r="13" spans="2:2" x14ac:dyDescent="0.25">
      <c r="A13" s="4" t="s">
        <v>138</v>
      </c>
      <c r="B13" s="22">
        <v>0.2</v>
      </c>
    </row>
    <row r="14" spans="2:2" x14ac:dyDescent="0.25">
      <c r="A14" s="4" t="s">
        <v>139</v>
      </c>
      <c r="B14" s="4" t="s">
        <v>12</v>
      </c>
    </row>
    <row r="16" ht="24" customHeight="1" spans="2:5" x14ac:dyDescent="0.25">
      <c r="A16" s="3" t="s">
        <v>140</v>
      </c>
      <c r="B16" s="3"/>
      <c r="C16" s="3"/>
      <c r="D16" s="3"/>
      <c r="E16" s="3"/>
    </row>
    <row r="17" spans="3:3" x14ac:dyDescent="0.25">
      <c r="A17" s="30" t="s">
        <v>141</v>
      </c>
      <c r="C17" s="31" t="s">
        <v>142</v>
      </c>
    </row>
    <row r="18" spans="3:3" x14ac:dyDescent="0.25">
      <c r="A18" s="30" t="s">
        <v>143</v>
      </c>
      <c r="C18" s="31" t="s">
        <v>142</v>
      </c>
    </row>
    <row r="19" spans="3:3" x14ac:dyDescent="0.25">
      <c r="A19" s="30" t="s">
        <v>144</v>
      </c>
      <c r="C19" s="31" t="s">
        <v>145</v>
      </c>
    </row>
    <row r="21" spans="2:5" x14ac:dyDescent="0.25">
      <c r="A21" s="14" t="s">
        <v>74</v>
      </c>
      <c r="B21" s="14"/>
      <c r="C21" s="14"/>
      <c r="D21" s="14"/>
      <c r="E21" s="14"/>
    </row>
  </sheetData>
  <mergeCells count="2">
    <mergeCell ref="A1:E1"/>
    <mergeCell ref="A21:E21"/>
  </mergeCells>
  <pageMargins left="0.25" right="0.25" top="0.5" bottom="0.5" header="0.3" footer="0.3"/>
  <pageSetup paperSize="1" orientation="portrait" horizontalDpi="4294967295" verticalDpi="4294967295" scale="100" fitToWidth="1" fitToHeight="0"/>
  <headerFooter>
    <oddHeader>&amp;L&amp;10&amp;BTest School Automation&amp;R&amp;8&amp;IActuals vs. Projections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5-Year Model</vt:lpstr>
      <vt:lpstr>Year 1 Pro Forma</vt:lpstr>
      <vt:lpstr>Actuals vs. Projections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 — Formula Model</dc:creator>
  <dc:title/>
  <dc:subject/>
  <dc:description/>
  <cp:keywords/>
  <cp:category/>
  <cp:lastModifiedBy>Unknown</cp:lastModifiedBy>
  <dcterms:created xsi:type="dcterms:W3CDTF">2026-03-16T13:39:49Z</dcterms:created>
  <dcterms:modified xsi:type="dcterms:W3CDTF">2026-03-16T13:39:49Z</dcterms:modified>
</cp:coreProperties>
</file>