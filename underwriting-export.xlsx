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Enrollment &amp; Rev Drivers" state="visible" r:id="rId5"/>
    <sheet sheetId="3" name="Tuition &amp; Funding Detail" state="visible" r:id="rId6"/>
    <sheet sheetId="4" name="Staffing Plan" state="visible" r:id="rId7"/>
    <sheet sheetId="5" name="Operating Expenses" state="visible" r:id="rId8"/>
    <sheet sheetId="6" name="Facilities &amp; Occupancy" state="visible" r:id="rId9"/>
    <sheet sheetId="7" name="Sources &amp; Uses" state="visible" r:id="rId10"/>
    <sheet sheetId="8" name="Debt Schedule" state="visible" r:id="rId11"/>
    <sheet sheetId="9" name="Cash Flow Monthly Y1" state="visible" r:id="rId12"/>
    <sheet sheetId="10" name="5-Year P&amp;L" state="visible" r:id="rId13"/>
    <sheet sheetId="11" name="5-Year Balance Sheet" state="visible" r:id="rId14"/>
    <sheet sheetId="12" name="DSCR &amp; Covenants" state="visible" r:id="rId15"/>
    <sheet sheetId="13" name="Underwriting Snapshot" state="visible" r:id="rId16"/>
    <sheet sheetId="14" name="Summary" state="visible" r:id="rId17"/>
  </sheets>
  <calcPr calcId="171027" fullCalcOnLoad="1"/>
</workbook>
</file>

<file path=xl/sharedStrings.xml><?xml version="1.0" encoding="utf-8"?>
<sst xmlns="http://schemas.openxmlformats.org/spreadsheetml/2006/main" count="298" uniqueCount="200">
  <si>
    <t>SchoolStack — Underwriting Assumptions</t>
  </si>
  <si>
    <t>SCHOOL INFORMATION</t>
  </si>
  <si>
    <t>School Name</t>
  </si>
  <si>
    <t>Lender Review School</t>
  </si>
  <si>
    <t>State</t>
  </si>
  <si>
    <t>TX</t>
  </si>
  <si>
    <t>School Type</t>
  </si>
  <si>
    <t>Charter School</t>
  </si>
  <si>
    <t>Entity Type</t>
  </si>
  <si>
    <t>501(c)(3) Nonprofit</t>
  </si>
  <si>
    <t>School Stage</t>
  </si>
  <si>
    <t>New School</t>
  </si>
  <si>
    <t>Opening Year</t>
  </si>
  <si>
    <t>Max Student Capacity</t>
  </si>
  <si>
    <t>Fiscal Year Start</t>
  </si>
  <si>
    <t>July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</si>
  <si>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</si>
  <si>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</si>
  <si>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</si>
  <si>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</si>
  <si>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</si>
  <si>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</si>
  <si>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</t>
  </si>
  <si>
    <t>Salary Escalation</t>
  </si>
  <si>
    <t>Cost Inflation</t>
  </si>
  <si>
    <t>Year 1 Proration</t>
  </si>
  <si>
    <t>Projection Period</t>
  </si>
  <si>
    <t>5 Years</t>
  </si>
  <si>
    <t/>
  </si>
  <si>
    <t>Year 1</t>
  </si>
  <si>
    <t>Year 2</t>
  </si>
  <si>
    <t>Year 3</t>
  </si>
  <si>
    <t>Year 4</t>
  </si>
  <si>
    <t>Year 5</t>
  </si>
  <si>
    <t>Students</t>
  </si>
  <si>
    <t>Enrollment Growth %</t>
  </si>
  <si>
    <t>—</t>
  </si>
  <si>
    <t>Capacity Utilization %</t>
  </si>
  <si>
    <t>REVENUE PER STUDENT</t>
  </si>
  <si>
    <t>State Per-Pupil Funding (per student)</t>
  </si>
  <si>
    <t>REVENUE MIX SUMMARY</t>
  </si>
  <si>
    <t>TOTAL NET REVENUE</t>
  </si>
  <si>
    <t>SchoolStack —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</si>
  <si>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</si>
  <si>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</si>
  <si>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</si>
  <si>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</si>
  <si>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</si>
  <si>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</si>
  <si>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</si>
  <si>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</si>
  <si>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Executive Director</t>
  </si>
  <si>
    <t>School Leadership</t>
  </si>
  <si>
    <t>FT</t>
  </si>
  <si>
    <t>Lead Teacher</t>
  </si>
  <si>
    <t>instructional_staff</t>
  </si>
  <si>
    <t>Office Manager</t>
  </si>
  <si>
    <t>ops_admin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</si>
  <si>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</si>
  <si>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</si>
  <si>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</si>
  <si>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</si>
  <si>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</si>
  <si>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</si>
  <si>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</si>
  <si>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</si>
  <si>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</si>
  <si>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Year 1 Personnel</t>
  </si>
  <si>
    <t>Year 2 Personnel</t>
  </si>
  <si>
    <t>Year 3 Personnel</t>
  </si>
  <si>
    <t>Year 4 Personnel</t>
  </si>
  <si>
    <t>Year 5 Personnel</t>
  </si>
  <si>
    <t>Base Cost</t>
  </si>
  <si>
    <t>Escalation Factor</t>
  </si>
  <si>
    <t>Proration</t>
  </si>
  <si>
    <t>Total Personnel</t>
  </si>
  <si>
    <t>INSTRUCTIONAL / PROGRAM</t>
  </si>
  <si>
    <t>Curriculum &amp; Materials</t>
  </si>
  <si>
    <t>Total Instructional / Program</t>
  </si>
  <si>
    <t>TECHNOLOGY</t>
  </si>
  <si>
    <t>Student Devices &amp; Software</t>
  </si>
  <si>
    <t>Total Technology</t>
  </si>
  <si>
    <t>TOTAL OPERATING EXPENSES</t>
  </si>
  <si>
    <t>OCCUPANCY / FACILITY COSTS</t>
  </si>
  <si>
    <t>Facility Lease</t>
  </si>
  <si>
    <t>Total Facility Costs</t>
  </si>
  <si>
    <t>Cost per Student</t>
  </si>
  <si>
    <t>% of Revenue</t>
  </si>
  <si>
    <t>SchoolStack — Sources &amp; Uses</t>
  </si>
  <si>
    <t>SOURCES OF FUNDS</t>
  </si>
  <si>
    <t>Starting Cash / Equity</t>
  </si>
  <si>
    <t>Year 1 Revenue (Projected)</t>
  </si>
  <si>
    <t>TOTAL SOURCES</t>
  </si>
  <si>
    <t>USES OF FUNDS</t>
  </si>
  <si>
    <t>No capital expenditures entered</t>
  </si>
  <si>
    <t>TOTAL USES</t>
  </si>
  <si>
    <t>SOURCES − USES (SURPLUS / GAP)</t>
  </si>
  <si>
    <t>SchoolStack — Debt Schedule</t>
  </si>
  <si>
    <t>Loan / Facility</t>
  </si>
  <si>
    <t>Principal</t>
  </si>
  <si>
    <t>Rate</t>
  </si>
  <si>
    <t>Term (yrs)</t>
  </si>
  <si>
    <t>Annual Payment</t>
  </si>
  <si>
    <t>Monthly Payment</t>
  </si>
  <si>
    <t>Total Interest</t>
  </si>
  <si>
    <t>No loans entered</t>
  </si>
  <si>
    <t>TOTAL DEBT SERVICE</t>
  </si>
  <si>
    <t>Annual Debt Service</t>
  </si>
  <si>
    <t>Monthly Debt Service</t>
  </si>
  <si>
    <t>AMORTIZATION SCHEDULE (ANNUAL)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</si>
  <si>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</si>
  <si>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</si>
  <si>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</si>
  <si>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</si>
  <si>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</si>
  <si>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</si>
  <si>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</si>
  <si>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</si>
  <si>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</si>
  <si>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</si>
  <si>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</si>
  <si>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</si>
  <si>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Revenue</t>
  </si>
  <si>
    <t>Personnel</t>
  </si>
  <si>
    <t>Operating Expenses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</si>
  <si>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</si>
  <si>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</si>
  <si>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</si>
  <si>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</si>
  <si>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</si>
  <si>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</si>
  <si>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</si>
  <si>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</si>
  <si>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</si>
  <si>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</si>
  <si>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Net Income</t>
  </si>
  <si>
    <t>Net Margin %</t>
  </si>
  <si>
    <t>Cumulative Net Income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</si>
  <si>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</si>
  <si>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</si>
  <si>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</si>
  <si>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</si>
  <si>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</si>
  <si>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</si>
  <si>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</si>
  <si>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</si>
  <si>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</si>
  <si>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Equity</t>
  </si>
  <si>
    <t>Net Income / (Loss)</t>
  </si>
  <si>
    <t>Total Equity</t>
  </si>
  <si>
    <t>BALANCE CHECK (Assets − Liab − Equity)</t>
  </si>
  <si>
    <t>DEBT SERVICE COVERAGE RATIO (DSCR)</t>
  </si>
  <si>
    <t>Net Operating Income (NOI)</t>
  </si>
  <si>
    <t>DSCR</t>
  </si>
  <si>
    <t>N/A</t>
  </si>
  <si>
    <t>LIQUIDITY METRICS</t>
  </si>
  <si>
    <t>Ending Cash Balance</t>
  </si>
  <si>
    <t>Monthly Operating Cost</t>
  </si>
  <si>
    <t>Cash Reserve (Months)</t>
  </si>
  <si>
    <t>Days Cash on Hand</t>
  </si>
  <si>
    <t>COVENANT CHECKS</t>
  </si>
  <si>
    <t>DSCR ≥ 1.20x</t>
  </si>
  <si>
    <t>Cash Reserve ≥ 2.0 Months</t>
  </si>
  <si>
    <t>PASS</t>
  </si>
  <si>
    <t>Positive Net Income</t>
  </si>
  <si>
    <t>Enrollment ≥ 70% Capacity</t>
  </si>
  <si>
    <t>FAIL</t>
  </si>
  <si>
    <t>SchoolStack — Underwriting Snapshot</t>
  </si>
  <si>
    <t>Lender Review School | Charter School | TX</t>
  </si>
  <si>
    <t>POLICY FLAGS</t>
  </si>
  <si>
    <t>Min 2 Months Cash Reserve (Year 1)</t>
  </si>
  <si>
    <t>8.4 months</t>
  </si>
  <si>
    <t>Positive Net Income (Year 1)</t>
  </si>
  <si>
    <t>Yes</t>
  </si>
  <si>
    <t>Break-Even Within Projection Period</t>
  </si>
  <si>
    <t>Enrollment ≥ 70% Capacity (Year 1)</t>
  </si>
  <si>
    <t>30%</t>
  </si>
  <si>
    <t>Positive Ending Cash (Final Year)</t>
  </si>
  <si>
    <t>UNDERWRITING ASSESSMENT</t>
  </si>
  <si>
    <t>Flags Passed</t>
  </si>
  <si>
    <t>4 / 5</t>
  </si>
  <si>
    <t>Overall Assessment</t>
  </si>
  <si>
    <t>Conditional</t>
  </si>
  <si>
    <t>KEY METRICS SUMMARY</t>
  </si>
  <si>
    <t>Year 1 Revenue</t>
  </si>
  <si>
    <t>Year 1 Total Expenses</t>
  </si>
  <si>
    <t>Year 1 Net Income</t>
  </si>
  <si>
    <t>Year 1 Net Margin</t>
  </si>
  <si>
    <t>Year 1 Ending Cash</t>
  </si>
  <si>
    <t>Total Debt</t>
  </si>
  <si>
    <t>Year 1 DSCR</t>
  </si>
  <si>
    <t>Year 1 Cash Reserve (Months)</t>
  </si>
  <si>
    <t>8.4</t>
  </si>
  <si>
    <t>Break-Even Year</t>
  </si>
  <si>
    <t>Revenue per Student (Year 1)</t>
  </si>
  <si>
    <t>Cost per Student (Year 1)</t>
  </si>
  <si>
    <t>Lender Review School — Financial Summary</t>
  </si>
  <si>
    <t>Capital &amp; Debt</t>
  </si>
  <si>
    <t>Cash Balance</t>
  </si>
  <si>
    <t>Revenue per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</si>
</sst>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;[Red](#,##0);&quot;-&quot;"/>
    <numFmt numFmtId="165" formatCode="0.0%;[Red](0.0%);&quot;-&quot;"/>
    <numFmt numFmtId="166" formatCode="0.0000"/>
    <numFmt numFmtId="167" formatCode="0.000"/>
    <numFmt numFmtId="168" formatCode="0.00x"/>
    <numFmt numFmtId="169" formatCode="0.0"/>
  </numFmts>
  <fonts count="8" x14ac:knownFonts="1">
    <font>
      <color theme="1"/>
      <family val="2"/>
      <scheme val="minor"/>
      <sz val="11"/>
      <name val="Calibri"/>
    </font>
    <font>
      <b/>
      <color rgb="FF1E293B"/>
      <sz val="14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E8F5E9"/>
      </patternFill>
    </fill>
    <fill>
      <patternFill patternType="solid">
        <fgColor rgb="FCE4EC"/>
      </patternFill>
    </fill>
    <fill>
      <patternFill patternType="solid">
        <fgColor rgb="FFF8E1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0" fontId="5" fillId="3" borderId="1" xfId="0" applyFont="1" applyFill="1" applyBorder="1" applyAlignment="1">
      <alignment horizontal="center" vertical="center"/>
    </xf>
    <xf numFmtId="164" fontId="4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4" fontId="3" fillId="0" borderId="1" xfId="0" applyNumberFormat="1" applyFont="1" applyBorder="1"/>
    <xf numFmtId="164" fontId="2" fillId="2" borderId="1" xfId="0" applyNumberFormat="1" applyFont="1" applyFill="1" applyBorder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  <xf numFmtId="166" fontId="3" fillId="0" borderId="1" xfId="0" applyNumberFormat="1" applyFont="1" applyBorder="1"/>
    <xf numFmtId="167" fontId="3" fillId="0" borderId="1" xfId="0" applyNumberFormat="1" applyFont="1" applyBorder="1"/>
    <xf numFmtId="164" fontId="4" fillId="2" borderId="1" xfId="0" applyNumberFormat="1" applyFont="1" applyFill="1" applyBorder="1"/>
    <xf numFmtId="168" fontId="4" fillId="0" borderId="1" xfId="0" applyNumberFormat="1" applyFont="1" applyBorder="1"/>
    <xf numFmtId="169" fontId="4" fillId="0" borderId="1" xfId="0" applyNumberFormat="1" applyFont="1" applyBorder="1"/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8" customWidth="1"/>
    <col min="2" max="2" width="25" customWidth="1"/>
  </cols>
  <sheetData>
    <row r="1" ht="32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 t="s">
        <v>9</v>
      </c>
    </row>
    <row r="8" spans="1:2" x14ac:dyDescent="0.25">
      <c r="A8" s="3" t="s">
        <v>10</v>
      </c>
      <c r="B8" s="4" t="s">
        <v>11</v>
      </c>
    </row>
    <row r="9" spans="1:2" x14ac:dyDescent="0.25">
      <c r="A9" s="3" t="s">
        <v>12</v>
      </c>
      <c r="B9" s="4">
        <v>2026</v>
      </c>
    </row>
    <row r="10" spans="1:2" x14ac:dyDescent="0.25">
      <c r="A10" s="3" t="s">
        <v>13</v>
      </c>
      <c r="B10" s="4">
        <v>200</v>
      </c>
    </row>
    <row r="11" spans="1:2" x14ac:dyDescent="0.25">
      <c r="A11" s="3" t="s">
        <v>14</v>
      </c>
      <c r="B11" s="4" t="s">
        <v>15</v>
      </c>
    </row>
    <row r="13" ht="24" customHeight="1" spans="1:2" x14ac:dyDescent="0.25">
      <c r="A13" s="2" t="s">
        <v>16</v>
      </c>
      <c r="B13" s="2"/>
    </row>
    <row r="14" spans="1:2" x14ac:dyDescent="0.25">
      <c r="A14" s="3" t="s">
        <v>17</v>
      </c>
      <c r="B14" s="5">
        <v>60</v>
      </c>
    </row>
    <row r="15" spans="1:2" x14ac:dyDescent="0.25">
      <c r="A15" s="3" t="s">
        <v>18</v>
      </c>
      <c r="B15" s="5">
        <v>90</v>
      </c>
    </row>
    <row r="16" spans="1:2" x14ac:dyDescent="0.25">
      <c r="A16" s="3" t="s">
        <v>19</v>
      </c>
      <c r="B16" s="5">
        <v>120</v>
      </c>
    </row>
    <row r="17" spans="1:2" x14ac:dyDescent="0.25">
      <c r="A17" s="3" t="s">
        <v>20</v>
      </c>
      <c r="B17" s="5">
        <v>150</v>
      </c>
    </row>
    <row r="18" spans="1:2" x14ac:dyDescent="0.25">
      <c r="A18" s="3" t="s">
        <v>21</v>
      </c>
      <c r="B18" s="5">
        <v>180</v>
      </c>
    </row>
    <row r="20" ht="24" customHeight="1" spans="1:2" x14ac:dyDescent="0.25">
      <c r="A20" s="2" t="s">
        <v>22</v>
      </c>
      <c r="B20" s="2"/>
    </row>
    <row r="21" spans="1:2" x14ac:dyDescent="0.25">
      <c r="A21" s="3" t="s">
        <v>23</v>
      </c>
      <c r="B21" s="6">
        <v>0</v>
      </c>
    </row>
    <row r="22" spans="1:2" x14ac:dyDescent="0.25">
      <c r="A22" s="3" t="s">
        <v>24</v>
      </c>
      <c r="B22" s="6">
        <v>0</v>
      </c>
    </row>
    <row r="23" spans="1:2" x14ac:dyDescent="0.25">
      <c r="A23" s="3" t="s">
        <v>25</v>
      </c>
      <c r="B23" s="7">
        <v>1</v>
      </c>
    </row>
    <row r="24" spans="1:2" x14ac:dyDescent="0.25">
      <c r="A24" s="3" t="s">
        <v>26</v>
      </c>
      <c r="B24" s="4" t="s">
        <v>27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25">
      <c r="A2" s="4" t="s">
        <v>34</v>
      </c>
      <c r="B2" s="9">
        <v>60</v>
      </c>
      <c r="C2" s="9">
        <v>90</v>
      </c>
      <c r="D2" s="9">
        <v>120</v>
      </c>
      <c r="E2" s="9">
        <v>150</v>
      </c>
      <c r="F2" s="9">
        <v>180</v>
      </c>
    </row>
    <row r="3" spans="1:6" x14ac:dyDescent="0.25">
      <c r="A3" s="3" t="s">
        <v>35</v>
      </c>
      <c r="B3" s="10" t="s">
        <v>36</v>
      </c>
      <c r="C3" s="11">
        <f>IF(B2=0,"—",(C2-B2)/B2)</f>
        <v>0.5</v>
      </c>
      <c r="D3" s="11">
        <f>IF(C2=0,"—",(D2-C2)/C2)</f>
        <v>0.3333333333333333</v>
      </c>
      <c r="E3" s="11">
        <f>IF(D2=0,"—",(E2-D2)/D2)</f>
        <v>0.25</v>
      </c>
      <c r="F3" s="11">
        <f>IF(E2=0,"—",(F2-E2)/E2)</f>
        <v>0.2</v>
      </c>
    </row>
    <row r="4" spans="1:6" x14ac:dyDescent="0.25">
      <c r="A4" s="3" t="s">
        <v>37</v>
      </c>
      <c r="B4" s="11">
        <v>0.3</v>
      </c>
      <c r="C4" s="11">
        <v>0.45</v>
      </c>
      <c r="D4" s="11">
        <v>0.6</v>
      </c>
      <c r="E4" s="11">
        <v>0.75</v>
      </c>
      <c r="F4" s="11">
        <v>0.9</v>
      </c>
    </row>
    <row r="6" ht="24" customHeight="1" spans="1:6" x14ac:dyDescent="0.25">
      <c r="A6" s="2" t="s">
        <v>38</v>
      </c>
      <c r="B6" s="2"/>
      <c r="C6" s="2"/>
      <c r="D6" s="2"/>
      <c r="E6" s="2"/>
      <c r="F6" s="2"/>
    </row>
    <row r="7" spans="1:6" x14ac:dyDescent="0.25">
      <c r="A7" s="3" t="s">
        <v>39</v>
      </c>
      <c r="B7" s="12">
        <v>9500</v>
      </c>
      <c r="C7" s="12">
        <v>9700</v>
      </c>
      <c r="D7" s="12">
        <v>9900</v>
      </c>
      <c r="E7" s="12">
        <v>10100</v>
      </c>
      <c r="F7" s="12">
        <v>10300</v>
      </c>
    </row>
    <row r="9" ht="24" customHeight="1" spans="1:6" x14ac:dyDescent="0.25">
      <c r="A9" s="2" t="s">
        <v>40</v>
      </c>
      <c r="B9" s="2"/>
      <c r="C9" s="2"/>
      <c r="D9" s="2"/>
      <c r="E9" s="2"/>
      <c r="F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25">
      <c r="A2" s="4" t="s">
        <v>34</v>
      </c>
      <c r="B2" s="9">
        <v>60</v>
      </c>
      <c r="C2" s="9">
        <v>90</v>
      </c>
      <c r="D2" s="9">
        <v>120</v>
      </c>
      <c r="E2" s="9">
        <v>150</v>
      </c>
      <c r="F2" s="9">
        <v>180</v>
      </c>
    </row>
    <row r="4" ht="24" customHeight="1" spans="1:6" x14ac:dyDescent="0.25">
      <c r="A4" s="2" t="s">
        <v>41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" t="s">
        <v>42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8" t="s">
        <v>43</v>
      </c>
      <c r="B3" s="8" t="s">
        <v>44</v>
      </c>
      <c r="C3" s="8" t="s">
        <v>45</v>
      </c>
      <c r="D3" s="8" t="s">
        <v>46</v>
      </c>
      <c r="E3" s="8" t="s">
        <v>47</v>
      </c>
      <c r="F3" s="8" t="s">
        <v>48</v>
      </c>
      <c r="G3" s="8" t="s">
        <v>49</v>
      </c>
      <c r="H3" s="8" t="s">
        <v>50</v>
      </c>
    </row>
    <row r="4" spans="1:8" x14ac:dyDescent="0.25">
      <c r="A4" s="3" t="s">
        <v>51</v>
      </c>
      <c r="B4" s="3" t="s">
        <v>52</v>
      </c>
      <c r="C4" s="3" t="s">
        <v>53</v>
      </c>
      <c r="D4" s="14">
        <v>1</v>
      </c>
      <c r="E4" s="15">
        <v>95000</v>
      </c>
      <c r="F4" s="16">
        <v>0.22</v>
      </c>
      <c r="G4" s="16">
        <v>0.08</v>
      </c>
      <c r="H4" s="5">
        <v>123500</v>
      </c>
    </row>
    <row r="5" spans="1:8" x14ac:dyDescent="0.25">
      <c r="A5" s="3" t="s">
        <v>54</v>
      </c>
      <c r="B5" s="3" t="s">
        <v>55</v>
      </c>
      <c r="C5" s="3" t="s">
        <v>53</v>
      </c>
      <c r="D5" s="14">
        <v>2</v>
      </c>
      <c r="E5" s="15">
        <v>55000</v>
      </c>
      <c r="F5" s="16">
        <v>0.22</v>
      </c>
      <c r="G5" s="16">
        <v>0.08</v>
      </c>
      <c r="H5" s="5">
        <v>143000</v>
      </c>
    </row>
    <row r="6" spans="1:8" x14ac:dyDescent="0.25">
      <c r="A6" s="3" t="s">
        <v>56</v>
      </c>
      <c r="B6" s="3" t="s">
        <v>57</v>
      </c>
      <c r="C6" s="3" t="s">
        <v>53</v>
      </c>
      <c r="D6" s="14">
        <v>1</v>
      </c>
      <c r="E6" s="15">
        <v>42000</v>
      </c>
      <c r="F6" s="16">
        <v>0.22</v>
      </c>
      <c r="G6" s="16">
        <v>0.08</v>
      </c>
      <c r="H6" s="5">
        <v>54600</v>
      </c>
    </row>
    <row r="8" ht="24" customHeight="1" spans="1:8" x14ac:dyDescent="0.25">
      <c r="A8" s="2" t="s">
        <v>58</v>
      </c>
      <c r="B8" s="2"/>
      <c r="C8" s="2"/>
      <c r="D8" s="2"/>
      <c r="E8" s="2"/>
      <c r="F8" s="2"/>
      <c r="G8" s="2"/>
      <c r="H8" s="2"/>
    </row>
    <row r="9" spans="1:2" x14ac:dyDescent="0.25">
      <c r="A9" s="3" t="s">
        <v>59</v>
      </c>
      <c r="B9" s="4">
        <v>3</v>
      </c>
    </row>
    <row r="10" spans="1:2" x14ac:dyDescent="0.25">
      <c r="A10" s="3" t="s">
        <v>60</v>
      </c>
      <c r="B10" s="4">
        <v>4</v>
      </c>
    </row>
    <row r="11" spans="1:2" x14ac:dyDescent="0.25">
      <c r="A11" s="3" t="s">
        <v>61</v>
      </c>
      <c r="B11" s="17">
        <v>247000</v>
      </c>
    </row>
    <row r="12" spans="1:2" x14ac:dyDescent="0.25">
      <c r="A12" s="3" t="s">
        <v>62</v>
      </c>
      <c r="B12" s="17">
        <v>54340</v>
      </c>
    </row>
    <row r="13" spans="1:2" x14ac:dyDescent="0.25">
      <c r="A13" s="3" t="s">
        <v>63</v>
      </c>
      <c r="B13" s="17">
        <v>19760</v>
      </c>
    </row>
    <row r="14" spans="1:2" x14ac:dyDescent="0.25">
      <c r="A14" s="3" t="s">
        <v>64</v>
      </c>
      <c r="B14" s="17">
        <v>0</v>
      </c>
    </row>
    <row r="15" spans="1:2" x14ac:dyDescent="0.25">
      <c r="A15" s="4" t="s">
        <v>65</v>
      </c>
      <c r="B15" s="5">
        <v>321100</v>
      </c>
    </row>
    <row r="17" ht="24" customHeight="1" spans="1:6" x14ac:dyDescent="0.25">
      <c r="A17" s="2" t="s">
        <v>66</v>
      </c>
      <c r="B17" s="2"/>
      <c r="C17" s="2"/>
      <c r="D17" s="2"/>
      <c r="E17" s="2"/>
      <c r="F17" s="2"/>
    </row>
    <row r="18" ht="28" customHeight="1" spans="1:6" x14ac:dyDescent="0.25">
      <c r="A18" s="8" t="s">
        <v>28</v>
      </c>
      <c r="B18" s="8" t="s">
        <v>29</v>
      </c>
      <c r="C18" s="8" t="s">
        <v>30</v>
      </c>
      <c r="D18" s="8" t="s">
        <v>31</v>
      </c>
      <c r="E18" s="8" t="s">
        <v>32</v>
      </c>
      <c r="F18" s="8" t="s">
        <v>33</v>
      </c>
    </row>
    <row r="19" spans="1:1" x14ac:dyDescent="0.25">
      <c r="A19" t="s">
        <v>67</v>
      </c>
    </row>
    <row r="20" spans="1:1" x14ac:dyDescent="0.25">
      <c r="A20" t="s">
        <v>68</v>
      </c>
    </row>
    <row r="21" spans="1:1" x14ac:dyDescent="0.25">
      <c r="A21" t="s">
        <v>69</v>
      </c>
    </row>
    <row r="22" spans="1:1" x14ac:dyDescent="0.25">
      <c r="A22" t="s">
        <v>70</v>
      </c>
    </row>
    <row r="23" spans="1:1" x14ac:dyDescent="0.25">
      <c r="A23" t="s">
        <v>71</v>
      </c>
    </row>
    <row r="24" spans="1:6" x14ac:dyDescent="0.25">
      <c r="A24" s="3" t="s">
        <v>72</v>
      </c>
      <c r="B24" s="12">
        <v>321100</v>
      </c>
      <c r="C24" s="12">
        <v>321100</v>
      </c>
      <c r="D24" s="12">
        <v>321100</v>
      </c>
      <c r="E24" s="12">
        <v>321100</v>
      </c>
      <c r="F24" s="12">
        <v>321100</v>
      </c>
    </row>
    <row r="25" spans="1:6" x14ac:dyDescent="0.25">
      <c r="A25" s="3" t="s">
        <v>73</v>
      </c>
      <c r="B25" s="18">
        <v>1</v>
      </c>
      <c r="C25" s="18">
        <v>1</v>
      </c>
      <c r="D25" s="18">
        <v>1</v>
      </c>
      <c r="E25" s="18">
        <v>1</v>
      </c>
      <c r="F25" s="18">
        <v>1</v>
      </c>
    </row>
    <row r="26" spans="1:6" x14ac:dyDescent="0.25">
      <c r="A26" s="3" t="s">
        <v>74</v>
      </c>
      <c r="B26" s="19">
        <v>1</v>
      </c>
      <c r="C26" s="19">
        <v>1</v>
      </c>
      <c r="D26" s="19">
        <v>1</v>
      </c>
      <c r="E26" s="19">
        <v>1</v>
      </c>
      <c r="F26" s="19">
        <v>1</v>
      </c>
    </row>
    <row r="27" spans="1:6" x14ac:dyDescent="0.25">
      <c r="A27" s="4" t="s">
        <v>75</v>
      </c>
      <c r="B27" s="12">
        <v>321100</v>
      </c>
      <c r="C27" s="12">
        <v>321100</v>
      </c>
      <c r="D27" s="12">
        <v>321100</v>
      </c>
      <c r="E27" s="12">
        <v>321100</v>
      </c>
      <c r="F27" s="12">
        <v>321100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76</v>
      </c>
      <c r="B2" s="2"/>
      <c r="C2" s="2"/>
      <c r="D2" s="2"/>
      <c r="E2" s="2"/>
      <c r="F2" s="2"/>
    </row>
    <row r="3" spans="1:6" x14ac:dyDescent="0.25">
      <c r="A3" s="3" t="s">
        <v>77</v>
      </c>
      <c r="B3" s="12">
        <v>15000</v>
      </c>
      <c r="C3" s="12">
        <v>20000</v>
      </c>
      <c r="D3" s="12">
        <v>25000</v>
      </c>
      <c r="E3" s="12">
        <v>30000</v>
      </c>
      <c r="F3" s="12">
        <v>35000</v>
      </c>
    </row>
    <row r="4" ht="24" customHeight="1" spans="1:6" x14ac:dyDescent="0.25">
      <c r="A4" s="2" t="s">
        <v>78</v>
      </c>
      <c r="B4" s="13">
        <f>SUM(B3:B3)</f>
        <v>15000</v>
      </c>
      <c r="C4" s="13">
        <f>SUM(C3:C3)</f>
        <v>20000</v>
      </c>
      <c r="D4" s="13">
        <f>SUM(D3:D3)</f>
        <v>25000</v>
      </c>
      <c r="E4" s="13">
        <f>SUM(E3:E3)</f>
        <v>30000</v>
      </c>
      <c r="F4" s="13">
        <f>SUM(F3:F3)</f>
        <v>35000</v>
      </c>
    </row>
    <row r="5" ht="24" customHeight="1" spans="1:6" x14ac:dyDescent="0.25">
      <c r="A5" s="2" t="s">
        <v>79</v>
      </c>
      <c r="B5" s="2"/>
      <c r="C5" s="2"/>
      <c r="D5" s="2"/>
      <c r="E5" s="2"/>
      <c r="F5" s="2"/>
    </row>
    <row r="6" spans="1:6" x14ac:dyDescent="0.25">
      <c r="A6" s="3" t="s">
        <v>80</v>
      </c>
      <c r="B6" s="12">
        <v>12000</v>
      </c>
      <c r="C6" s="12">
        <v>16000</v>
      </c>
      <c r="D6" s="12">
        <v>20000</v>
      </c>
      <c r="E6" s="12">
        <v>24000</v>
      </c>
      <c r="F6" s="12">
        <v>28000</v>
      </c>
    </row>
    <row r="7" ht="24" customHeight="1" spans="1:6" x14ac:dyDescent="0.25">
      <c r="A7" s="2" t="s">
        <v>81</v>
      </c>
      <c r="B7" s="13">
        <f>SUM(B6:B6)</f>
        <v>12000</v>
      </c>
      <c r="C7" s="13">
        <f>SUM(C6:C6)</f>
        <v>16000</v>
      </c>
      <c r="D7" s="13">
        <f>SUM(D6:D6)</f>
        <v>20000</v>
      </c>
      <c r="E7" s="13">
        <f>SUM(E6:E6)</f>
        <v>24000</v>
      </c>
      <c r="F7" s="13">
        <f>SUM(F6:F6)</f>
        <v>28000</v>
      </c>
    </row>
    <row r="9" ht="24" customHeight="1" spans="1:6" x14ac:dyDescent="0.25">
      <c r="A9" s="2" t="s">
        <v>82</v>
      </c>
      <c r="B9" s="13">
        <f>B4+B7</f>
        <v>27000</v>
      </c>
      <c r="C9" s="13">
        <f>C4+C7</f>
        <v>36000</v>
      </c>
      <c r="D9" s="13">
        <f>D4+D7</f>
        <v>45000</v>
      </c>
      <c r="E9" s="13">
        <f>E4+E7</f>
        <v>54000</v>
      </c>
      <c r="F9" s="13">
        <f>F4+F7</f>
        <v>63000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83</v>
      </c>
      <c r="B2" s="2"/>
      <c r="C2" s="2"/>
      <c r="D2" s="2"/>
      <c r="E2" s="2"/>
      <c r="F2" s="2"/>
    </row>
    <row r="3" spans="1:6" x14ac:dyDescent="0.25">
      <c r="A3" s="3" t="s">
        <v>84</v>
      </c>
      <c r="B3" s="12">
        <v>96000</v>
      </c>
      <c r="C3" s="12">
        <v>98880</v>
      </c>
      <c r="D3" s="12">
        <v>101844</v>
      </c>
      <c r="E3" s="12">
        <v>104904</v>
      </c>
      <c r="F3" s="12">
        <v>108048</v>
      </c>
    </row>
    <row r="4" ht="24" customHeight="1" spans="1:6" x14ac:dyDescent="0.25">
      <c r="A4" s="2" t="s">
        <v>85</v>
      </c>
      <c r="B4" s="13">
        <f>SUM(B3:B3)</f>
        <v>96000</v>
      </c>
      <c r="C4" s="13">
        <f>SUM(C3:C3)</f>
        <v>98880</v>
      </c>
      <c r="D4" s="13">
        <f>SUM(D3:D3)</f>
        <v>101844</v>
      </c>
      <c r="E4" s="13">
        <f>SUM(E3:E3)</f>
        <v>104904</v>
      </c>
      <c r="F4" s="13">
        <f>SUM(F3:F3)</f>
        <v>108048</v>
      </c>
    </row>
    <row r="6" spans="1:6" x14ac:dyDescent="0.25">
      <c r="A6" s="3" t="s">
        <v>86</v>
      </c>
      <c r="B6" s="12">
        <v>1600</v>
      </c>
      <c r="C6" s="12">
        <v>1099</v>
      </c>
      <c r="D6" s="12">
        <v>849</v>
      </c>
      <c r="E6" s="12">
        <v>699</v>
      </c>
      <c r="F6" s="12">
        <v>600</v>
      </c>
    </row>
    <row r="7" spans="1:6" x14ac:dyDescent="0.25">
      <c r="A7" s="3" t="s">
        <v>87</v>
      </c>
      <c r="B7" s="11">
        <v>0.12549019607843137</v>
      </c>
      <c r="C7" s="11">
        <v>0.09674200176108012</v>
      </c>
      <c r="D7" s="11">
        <v>0.07888426218537384</v>
      </c>
      <c r="E7" s="11">
        <v>0.06567907634572799</v>
      </c>
      <c r="F7" s="11">
        <v>0.05639369109673015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40" customWidth="1"/>
    <col min="2" max="2" width="22" customWidth="1"/>
  </cols>
  <sheetData>
    <row r="1" ht="32" customHeight="1" spans="1:2" x14ac:dyDescent="0.25">
      <c r="A1" s="1" t="s">
        <v>88</v>
      </c>
      <c r="B1" s="1"/>
    </row>
    <row r="3" ht="24" customHeight="1" spans="1:2" x14ac:dyDescent="0.25">
      <c r="A3" s="2" t="s">
        <v>89</v>
      </c>
      <c r="B3" s="2"/>
    </row>
    <row r="4" spans="1:2" x14ac:dyDescent="0.25">
      <c r="A4" s="3" t="s">
        <v>90</v>
      </c>
      <c r="B4" s="5">
        <v>0</v>
      </c>
    </row>
    <row r="5" spans="1:2" x14ac:dyDescent="0.25">
      <c r="A5" s="3" t="s">
        <v>91</v>
      </c>
      <c r="B5" s="15">
        <v>765000</v>
      </c>
    </row>
    <row r="6" ht="24" customHeight="1" spans="1:2" x14ac:dyDescent="0.25">
      <c r="A6" s="2" t="s">
        <v>92</v>
      </c>
      <c r="B6" s="20">
        <f>SUM(B4:B5)</f>
        <v>765000</v>
      </c>
    </row>
    <row r="8" ht="24" customHeight="1" spans="1:2" x14ac:dyDescent="0.25">
      <c r="A8" s="2" t="s">
        <v>93</v>
      </c>
      <c r="B8" s="2"/>
    </row>
    <row r="9" spans="1:2" x14ac:dyDescent="0.25">
      <c r="A9" s="3" t="s">
        <v>94</v>
      </c>
      <c r="B9" s="17">
        <v>0</v>
      </c>
    </row>
    <row r="10" ht="24" customHeight="1" spans="1:2" x14ac:dyDescent="0.25">
      <c r="A10" s="2" t="s">
        <v>95</v>
      </c>
      <c r="B10" s="20">
        <f>SUM(B9:B9)</f>
        <v>0</v>
      </c>
    </row>
    <row r="12" spans="1:2" x14ac:dyDescent="0.25">
      <c r="A12" s="4" t="s">
        <v>96</v>
      </c>
      <c r="B12" s="5">
        <f>B6-B10</f>
        <v>765000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" t="s">
        <v>97</v>
      </c>
      <c r="B1" s="1"/>
      <c r="C1" s="1"/>
      <c r="D1" s="1"/>
      <c r="E1" s="1"/>
      <c r="F1" s="1"/>
      <c r="G1" s="1"/>
    </row>
    <row r="3" ht="28" customHeight="1" spans="1:7" x14ac:dyDescent="0.25">
      <c r="A3" s="8" t="s">
        <v>98</v>
      </c>
      <c r="B3" s="8" t="s">
        <v>99</v>
      </c>
      <c r="C3" s="8" t="s">
        <v>100</v>
      </c>
      <c r="D3" s="8" t="s">
        <v>101</v>
      </c>
      <c r="E3" s="8" t="s">
        <v>102</v>
      </c>
      <c r="F3" s="8" t="s">
        <v>103</v>
      </c>
      <c r="G3" s="8" t="s">
        <v>104</v>
      </c>
    </row>
    <row r="4" spans="1:1" x14ac:dyDescent="0.25">
      <c r="A4" s="3" t="s">
        <v>105</v>
      </c>
    </row>
    <row r="6" ht="24" customHeight="1" spans="1:7" x14ac:dyDescent="0.25">
      <c r="A6" s="2" t="s">
        <v>106</v>
      </c>
      <c r="B6" s="2"/>
      <c r="C6" s="2"/>
      <c r="D6" s="2"/>
      <c r="E6" s="2"/>
      <c r="F6" s="2"/>
      <c r="G6" s="2"/>
    </row>
    <row r="7" spans="1:2" x14ac:dyDescent="0.25">
      <c r="A7" s="4" t="s">
        <v>107</v>
      </c>
      <c r="B7" s="5">
        <v>0</v>
      </c>
    </row>
    <row r="8" spans="1:2" x14ac:dyDescent="0.25">
      <c r="A8" s="3" t="s">
        <v>108</v>
      </c>
      <c r="B8" s="17">
        <v>0</v>
      </c>
    </row>
    <row r="10" ht="24" customHeight="1" spans="1:7" x14ac:dyDescent="0.25">
      <c r="A10" s="2" t="s">
        <v>109</v>
      </c>
      <c r="B10" s="2"/>
      <c r="C10" s="2"/>
      <c r="D10" s="2"/>
      <c r="E10" s="2"/>
      <c r="F10" s="2"/>
      <c r="G10" s="2"/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8" t="s">
        <v>28</v>
      </c>
      <c r="B1" s="8" t="s">
        <v>15</v>
      </c>
      <c r="C1" s="8" t="s">
        <v>110</v>
      </c>
      <c r="D1" s="8" t="s">
        <v>111</v>
      </c>
      <c r="E1" s="8" t="s">
        <v>112</v>
      </c>
      <c r="F1" s="8" t="s">
        <v>113</v>
      </c>
      <c r="G1" s="8" t="s">
        <v>114</v>
      </c>
      <c r="H1" s="8" t="s">
        <v>115</v>
      </c>
      <c r="I1" s="8" t="s">
        <v>116</v>
      </c>
      <c r="J1" s="8" t="s">
        <v>117</v>
      </c>
      <c r="K1" s="8" t="s">
        <v>118</v>
      </c>
      <c r="L1" s="8" t="s">
        <v>119</v>
      </c>
      <c r="M1" s="8" t="s">
        <v>120</v>
      </c>
      <c r="N1" s="8" t="s">
        <v>121</v>
      </c>
    </row>
    <row r="2" spans="1:14" x14ac:dyDescent="0.25">
      <c r="A2" s="4" t="s">
        <v>122</v>
      </c>
      <c r="B2" s="12">
        <v>63750</v>
      </c>
      <c r="C2" s="12">
        <v>63750</v>
      </c>
      <c r="D2" s="12">
        <v>63750</v>
      </c>
      <c r="E2" s="12">
        <v>63750</v>
      </c>
      <c r="F2" s="12">
        <v>63750</v>
      </c>
      <c r="G2" s="12">
        <v>63750</v>
      </c>
      <c r="H2" s="12">
        <v>63750</v>
      </c>
      <c r="I2" s="12">
        <v>63750</v>
      </c>
      <c r="J2" s="12">
        <v>63750</v>
      </c>
      <c r="K2" s="12">
        <v>63750</v>
      </c>
      <c r="L2" s="12">
        <v>63750</v>
      </c>
      <c r="M2" s="12">
        <v>63750</v>
      </c>
      <c r="N2" s="9">
        <f>SUM(B2:M2)</f>
        <v>765000</v>
      </c>
    </row>
    <row r="3" spans="1:14" x14ac:dyDescent="0.25">
      <c r="A3" s="3" t="s">
        <v>123</v>
      </c>
      <c r="B3" s="12">
        <v>26758</v>
      </c>
      <c r="C3" s="12">
        <v>26758</v>
      </c>
      <c r="D3" s="12">
        <v>26758</v>
      </c>
      <c r="E3" s="12">
        <v>26758</v>
      </c>
      <c r="F3" s="12">
        <v>26758</v>
      </c>
      <c r="G3" s="12">
        <v>26758</v>
      </c>
      <c r="H3" s="12">
        <v>26758</v>
      </c>
      <c r="I3" s="12">
        <v>26758</v>
      </c>
      <c r="J3" s="12">
        <v>26758</v>
      </c>
      <c r="K3" s="12">
        <v>26758</v>
      </c>
      <c r="L3" s="12">
        <v>26758</v>
      </c>
      <c r="M3" s="12">
        <v>26758</v>
      </c>
      <c r="N3" s="12">
        <f>SUM(B3:M3)</f>
        <v>321096</v>
      </c>
    </row>
    <row r="4" spans="1:14" x14ac:dyDescent="0.25">
      <c r="A4" s="3" t="s">
        <v>124</v>
      </c>
      <c r="B4" s="12">
        <v>10667</v>
      </c>
      <c r="C4" s="12">
        <v>10667</v>
      </c>
      <c r="D4" s="12">
        <v>10667</v>
      </c>
      <c r="E4" s="12">
        <v>10667</v>
      </c>
      <c r="F4" s="12">
        <v>10667</v>
      </c>
      <c r="G4" s="12">
        <v>10667</v>
      </c>
      <c r="H4" s="12">
        <v>10667</v>
      </c>
      <c r="I4" s="12">
        <v>10667</v>
      </c>
      <c r="J4" s="12">
        <v>10667</v>
      </c>
      <c r="K4" s="12">
        <v>10667</v>
      </c>
      <c r="L4" s="12">
        <v>10667</v>
      </c>
      <c r="M4" s="12">
        <v>10667</v>
      </c>
      <c r="N4" s="12">
        <f>SUM(B4:M4)</f>
        <v>128004</v>
      </c>
    </row>
    <row r="5" spans="1:14" x14ac:dyDescent="0.25">
      <c r="A5" s="3" t="s">
        <v>125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f>SUM(B5:M5)</f>
        <v>0</v>
      </c>
    </row>
    <row r="6" ht="24" customHeight="1" spans="1:14" x14ac:dyDescent="0.25">
      <c r="A6" s="2" t="s">
        <v>126</v>
      </c>
      <c r="B6" s="20">
        <f>SUM(B3:B5)</f>
        <v>37425</v>
      </c>
      <c r="C6" s="20">
        <f>SUM(C3:C5)</f>
        <v>37425</v>
      </c>
      <c r="D6" s="20">
        <f>SUM(D3:D5)</f>
        <v>37425</v>
      </c>
      <c r="E6" s="20">
        <f>SUM(E3:E5)</f>
        <v>37425</v>
      </c>
      <c r="F6" s="20">
        <f>SUM(F3:F5)</f>
        <v>37425</v>
      </c>
      <c r="G6" s="20">
        <f>SUM(G3:G5)</f>
        <v>37425</v>
      </c>
      <c r="H6" s="20">
        <f>SUM(H3:H5)</f>
        <v>37425</v>
      </c>
      <c r="I6" s="20">
        <f>SUM(I3:I5)</f>
        <v>37425</v>
      </c>
      <c r="J6" s="20">
        <f>SUM(J3:J5)</f>
        <v>37425</v>
      </c>
      <c r="K6" s="20">
        <f>SUM(K3:K5)</f>
        <v>37425</v>
      </c>
      <c r="L6" s="20">
        <f>SUM(L3:L5)</f>
        <v>37425</v>
      </c>
      <c r="M6" s="20">
        <f>SUM(M3:M5)</f>
        <v>37425</v>
      </c>
      <c r="N6" s="20">
        <f>SUM(B6:M6)</f>
        <v>449100</v>
      </c>
    </row>
    <row r="7" spans="1:14" x14ac:dyDescent="0.25">
      <c r="A7" s="4" t="s">
        <v>127</v>
      </c>
      <c r="B7" s="9">
        <f>B2-B6</f>
        <v>26325</v>
      </c>
      <c r="C7" s="9">
        <f>C2-C6</f>
        <v>26325</v>
      </c>
      <c r="D7" s="9">
        <f>D2-D6</f>
        <v>26325</v>
      </c>
      <c r="E7" s="9">
        <f>E2-E6</f>
        <v>26325</v>
      </c>
      <c r="F7" s="9">
        <f>F2-F6</f>
        <v>26325</v>
      </c>
      <c r="G7" s="9">
        <f>G2-G6</f>
        <v>26325</v>
      </c>
      <c r="H7" s="9">
        <f>H2-H6</f>
        <v>26325</v>
      </c>
      <c r="I7" s="9">
        <f>I2-I6</f>
        <v>26325</v>
      </c>
      <c r="J7" s="9">
        <f>J2-J6</f>
        <v>26325</v>
      </c>
      <c r="K7" s="9">
        <f>K2-K6</f>
        <v>26325</v>
      </c>
      <c r="L7" s="9">
        <f>L2-L6</f>
        <v>26325</v>
      </c>
      <c r="M7" s="9">
        <f>M2-M6</f>
        <v>26325</v>
      </c>
      <c r="N7" s="9">
        <f>SUM(B7:M7)</f>
        <v>315900</v>
      </c>
    </row>
    <row r="8" spans="1:14" x14ac:dyDescent="0.25">
      <c r="A8" s="4" t="s">
        <v>128</v>
      </c>
      <c r="B8" s="9">
        <f>0+B7</f>
        <v>26325</v>
      </c>
      <c r="C8" s="9">
        <f>B8+C7</f>
        <v>52650</v>
      </c>
      <c r="D8" s="9">
        <f>C8+D7</f>
        <v>78975</v>
      </c>
      <c r="E8" s="9">
        <f>D8+E7</f>
        <v>105300</v>
      </c>
      <c r="F8" s="9">
        <f>E8+F7</f>
        <v>131625</v>
      </c>
      <c r="G8" s="9">
        <f>F8+G7</f>
        <v>157950</v>
      </c>
      <c r="H8" s="9">
        <f>G8+H7</f>
        <v>184275</v>
      </c>
      <c r="I8" s="9">
        <f>H8+I7</f>
        <v>210600</v>
      </c>
      <c r="J8" s="9">
        <f>I8+J7</f>
        <v>236925</v>
      </c>
      <c r="K8" s="9">
        <f>J8+K7</f>
        <v>263250</v>
      </c>
      <c r="L8" s="9">
        <f>K8+L7</f>
        <v>289575</v>
      </c>
      <c r="M8" s="9">
        <f>L8+M7</f>
        <v>315900</v>
      </c>
      <c r="N8" s="9">
        <f>M8</f>
        <v>315900</v>
      </c>
    </row>
    <row r="10" ht="24" customHeight="1" spans="1:14" x14ac:dyDescent="0.25">
      <c r="A10" s="2" t="s">
        <v>129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2" x14ac:dyDescent="0.25">
      <c r="A11" s="3" t="s">
        <v>130</v>
      </c>
      <c r="B11" s="17">
        <v>0</v>
      </c>
    </row>
    <row r="12" spans="1:2" x14ac:dyDescent="0.25">
      <c r="A12" s="3" t="s">
        <v>131</v>
      </c>
      <c r="B12" s="5">
        <f>M8</f>
        <v>315900</v>
      </c>
    </row>
    <row r="13" spans="1:2" x14ac:dyDescent="0.25">
      <c r="A13" s="3" t="s">
        <v>132</v>
      </c>
      <c r="B13" s="17">
        <f>MIN(B8:M8)</f>
        <v>26325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spans="1:6" x14ac:dyDescent="0.25">
      <c r="A2" s="4" t="s">
        <v>133</v>
      </c>
      <c r="B2" s="9">
        <v>765000</v>
      </c>
      <c r="C2" s="9">
        <v>1022100</v>
      </c>
      <c r="D2" s="9">
        <v>1291056</v>
      </c>
      <c r="E2" s="9">
        <v>1597221</v>
      </c>
      <c r="F2" s="9">
        <v>1915959</v>
      </c>
    </row>
    <row r="3" spans="1:6" x14ac:dyDescent="0.25">
      <c r="A3" s="3" t="s">
        <v>123</v>
      </c>
      <c r="B3" s="12">
        <v>321100</v>
      </c>
      <c r="C3" s="12">
        <v>321100</v>
      </c>
      <c r="D3" s="12">
        <v>321100</v>
      </c>
      <c r="E3" s="12">
        <v>321100</v>
      </c>
      <c r="F3" s="12">
        <v>321100</v>
      </c>
    </row>
    <row r="4" spans="1:6" x14ac:dyDescent="0.25">
      <c r="A4" s="3" t="s">
        <v>124</v>
      </c>
      <c r="B4" s="12">
        <v>128000</v>
      </c>
      <c r="C4" s="12">
        <v>140080</v>
      </c>
      <c r="D4" s="12">
        <v>152244</v>
      </c>
      <c r="E4" s="12">
        <v>164504</v>
      </c>
      <c r="F4" s="12">
        <v>176848</v>
      </c>
    </row>
    <row r="5" spans="1:6" x14ac:dyDescent="0.25">
      <c r="A5" s="3" t="s">
        <v>134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</row>
    <row r="6" ht="24" customHeight="1" spans="1:6" x14ac:dyDescent="0.25">
      <c r="A6" s="2" t="s">
        <v>126</v>
      </c>
      <c r="B6" s="20">
        <f>SUM(B3:B5)</f>
        <v>449100</v>
      </c>
      <c r="C6" s="20">
        <f>SUM(C3:C5)</f>
        <v>461180</v>
      </c>
      <c r="D6" s="20">
        <f>SUM(D3:D5)</f>
        <v>473344</v>
      </c>
      <c r="E6" s="20">
        <f>SUM(E3:E5)</f>
        <v>485604</v>
      </c>
      <c r="F6" s="20">
        <f>SUM(F3:F5)</f>
        <v>497948</v>
      </c>
    </row>
    <row r="7" spans="1:6" x14ac:dyDescent="0.25">
      <c r="A7" s="4" t="s">
        <v>135</v>
      </c>
      <c r="B7" s="9">
        <f>B2-B6</f>
        <v>315900</v>
      </c>
      <c r="C7" s="9">
        <f>C2-C6</f>
        <v>560920</v>
      </c>
      <c r="D7" s="9">
        <f>D2-D6</f>
        <v>817712</v>
      </c>
      <c r="E7" s="9">
        <f>E2-E6</f>
        <v>1111617</v>
      </c>
      <c r="F7" s="9">
        <f>F2-F6</f>
        <v>1418011</v>
      </c>
    </row>
    <row r="8" spans="1:6" x14ac:dyDescent="0.25">
      <c r="A8" s="3" t="s">
        <v>136</v>
      </c>
      <c r="B8" s="11">
        <f>IF(B2=0,0,B7/B2)</f>
        <v>0.41294117647058826</v>
      </c>
      <c r="C8" s="11">
        <f>IF(C2=0,0,C7/C2)</f>
        <v>0.548791703355836</v>
      </c>
      <c r="D8" s="11">
        <f>IF(D2=0,0,D7/D2)</f>
        <v>0.6333667943141119</v>
      </c>
      <c r="E8" s="11">
        <f>IF(E2=0,0,E7/E2)</f>
        <v>0.695969436915743</v>
      </c>
      <c r="F8" s="11">
        <f>IF(F2=0,0,F7/F2)</f>
        <v>0.7401050857560104</v>
      </c>
    </row>
    <row r="9" spans="1:6" x14ac:dyDescent="0.25">
      <c r="A9" s="4" t="s">
        <v>137</v>
      </c>
      <c r="B9" s="9">
        <f>B7</f>
        <v>315900</v>
      </c>
      <c r="C9" s="9">
        <f>B9+C7</f>
        <v>876820</v>
      </c>
      <c r="D9" s="9">
        <f>C9+D7</f>
        <v>1694532</v>
      </c>
      <c r="E9" s="9">
        <f>D9+E7</f>
        <v>2806149</v>
      </c>
      <c r="F9" s="9">
        <f>E9+F7</f>
        <v>4224160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138</v>
      </c>
      <c r="B2" s="2"/>
      <c r="C2" s="2"/>
      <c r="D2" s="2"/>
      <c r="E2" s="2"/>
      <c r="F2" s="2"/>
    </row>
    <row r="3" spans="1:6" x14ac:dyDescent="0.25">
      <c r="A3" s="3" t="s">
        <v>139</v>
      </c>
      <c r="B3" s="12">
        <v>315900</v>
      </c>
      <c r="C3" s="12">
        <v>876820</v>
      </c>
      <c r="D3" s="12">
        <v>1694532</v>
      </c>
      <c r="E3" s="12">
        <v>2806149</v>
      </c>
      <c r="F3" s="12">
        <v>4224160</v>
      </c>
    </row>
    <row r="4" spans="1:6" x14ac:dyDescent="0.25">
      <c r="A4" s="3" t="s">
        <v>140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</row>
    <row r="5" ht="24" customHeight="1" spans="1:6" x14ac:dyDescent="0.25">
      <c r="A5" s="2" t="s">
        <v>141</v>
      </c>
      <c r="B5" s="13">
        <f>SUM(B3:B4)</f>
        <v>315900</v>
      </c>
      <c r="C5" s="13">
        <f>SUM(C3:C4)</f>
        <v>876820</v>
      </c>
      <c r="D5" s="13">
        <f>SUM(D3:D4)</f>
        <v>1694532</v>
      </c>
      <c r="E5" s="13">
        <f>SUM(E3:E4)</f>
        <v>2806149</v>
      </c>
      <c r="F5" s="13">
        <f>SUM(F3:F4)</f>
        <v>4224160</v>
      </c>
    </row>
    <row r="7" ht="24" customHeight="1" spans="1:6" x14ac:dyDescent="0.25">
      <c r="A7" s="2" t="s">
        <v>142</v>
      </c>
      <c r="B7" s="2"/>
      <c r="C7" s="2"/>
      <c r="D7" s="2"/>
      <c r="E7" s="2"/>
      <c r="F7" s="2"/>
    </row>
    <row r="8" spans="1:6" x14ac:dyDescent="0.25">
      <c r="A8" s="3" t="s">
        <v>143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</row>
    <row r="9" spans="1:6" x14ac:dyDescent="0.25">
      <c r="A9" s="3" t="s">
        <v>144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</row>
    <row r="10" ht="24" customHeight="1" spans="1:6" x14ac:dyDescent="0.25">
      <c r="A10" s="2" t="s">
        <v>145</v>
      </c>
      <c r="B10" s="13">
        <f>SUM(B8:B9)</f>
        <v>0</v>
      </c>
      <c r="C10" s="13">
        <f>SUM(C8:C9)</f>
        <v>0</v>
      </c>
      <c r="D10" s="13">
        <f>SUM(D8:D9)</f>
        <v>0</v>
      </c>
      <c r="E10" s="13">
        <f>SUM(E8:E9)</f>
        <v>0</v>
      </c>
      <c r="F10" s="13">
        <f>SUM(F8:F9)</f>
        <v>0</v>
      </c>
    </row>
    <row r="12" ht="24" customHeight="1" spans="1:6" x14ac:dyDescent="0.25">
      <c r="A12" s="2" t="s">
        <v>146</v>
      </c>
      <c r="B12" s="2"/>
      <c r="C12" s="2"/>
      <c r="D12" s="2"/>
      <c r="E12" s="2"/>
      <c r="F12" s="2"/>
    </row>
    <row r="13" spans="1:6" x14ac:dyDescent="0.25">
      <c r="A13" s="3" t="s">
        <v>147</v>
      </c>
      <c r="B13" s="12">
        <v>0</v>
      </c>
      <c r="C13" s="12">
        <v>315900</v>
      </c>
      <c r="D13" s="12">
        <v>876820</v>
      </c>
      <c r="E13" s="12">
        <v>1694532</v>
      </c>
      <c r="F13" s="12">
        <v>2806149</v>
      </c>
    </row>
    <row r="14" spans="1:6" x14ac:dyDescent="0.25">
      <c r="A14" s="3" t="s">
        <v>148</v>
      </c>
      <c r="B14" s="12">
        <v>315900</v>
      </c>
      <c r="C14" s="12">
        <v>560920</v>
      </c>
      <c r="D14" s="12">
        <v>817712</v>
      </c>
      <c r="E14" s="12">
        <v>1111617</v>
      </c>
      <c r="F14" s="12">
        <v>1418011</v>
      </c>
    </row>
    <row r="15" ht="24" customHeight="1" spans="1:6" x14ac:dyDescent="0.25">
      <c r="A15" s="2" t="s">
        <v>149</v>
      </c>
      <c r="B15" s="13">
        <f>SUM(B13:B14)</f>
        <v>315900</v>
      </c>
      <c r="C15" s="13">
        <f>SUM(C13:C14)</f>
        <v>876820</v>
      </c>
      <c r="D15" s="13">
        <f>SUM(D13:D14)</f>
        <v>1694532</v>
      </c>
      <c r="E15" s="13">
        <f>SUM(E13:E14)</f>
        <v>2806149</v>
      </c>
      <c r="F15" s="13">
        <f>SUM(F13:F14)</f>
        <v>4224160</v>
      </c>
    </row>
    <row r="17" spans="1:6" x14ac:dyDescent="0.25">
      <c r="A17" s="4" t="s">
        <v>150</v>
      </c>
      <c r="B17" s="9">
        <f>B5-B10-B15</f>
        <v>0</v>
      </c>
      <c r="C17" s="9">
        <f>C5-C10-C15</f>
        <v>0</v>
      </c>
      <c r="D17" s="9">
        <f>D5-D10-D15</f>
        <v>0</v>
      </c>
      <c r="E17" s="9">
        <f>E5-E10-E15</f>
        <v>0</v>
      </c>
      <c r="F17" s="9">
        <f>F5-F10-F15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</row>
    <row r="2" ht="24" customHeight="1" spans="1:6" x14ac:dyDescent="0.25">
      <c r="A2" s="2" t="s">
        <v>151</v>
      </c>
      <c r="B2" s="2"/>
      <c r="C2" s="2"/>
      <c r="D2" s="2"/>
      <c r="E2" s="2"/>
      <c r="F2" s="2"/>
    </row>
    <row r="3" spans="1:6" x14ac:dyDescent="0.25">
      <c r="A3" s="3" t="s">
        <v>152</v>
      </c>
      <c r="B3" s="12">
        <v>315900</v>
      </c>
      <c r="C3" s="12">
        <v>560920</v>
      </c>
      <c r="D3" s="12">
        <v>817712</v>
      </c>
      <c r="E3" s="12">
        <v>1111617</v>
      </c>
      <c r="F3" s="12">
        <v>1418011</v>
      </c>
    </row>
    <row r="4" spans="1:6" x14ac:dyDescent="0.25">
      <c r="A4" s="3" t="s">
        <v>107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</row>
    <row r="5" spans="1:6" x14ac:dyDescent="0.25">
      <c r="A5" s="4" t="s">
        <v>153</v>
      </c>
      <c r="B5" s="21" t="s">
        <v>154</v>
      </c>
      <c r="C5" s="21" t="s">
        <v>154</v>
      </c>
      <c r="D5" s="21" t="s">
        <v>154</v>
      </c>
      <c r="E5" s="21" t="s">
        <v>154</v>
      </c>
      <c r="F5" s="21" t="s">
        <v>154</v>
      </c>
    </row>
    <row r="7" ht="24" customHeight="1" spans="1:6" x14ac:dyDescent="0.25">
      <c r="A7" s="2" t="s">
        <v>155</v>
      </c>
      <c r="B7" s="2"/>
      <c r="C7" s="2"/>
      <c r="D7" s="2"/>
      <c r="E7" s="2"/>
      <c r="F7" s="2"/>
    </row>
    <row r="8" spans="1:6" x14ac:dyDescent="0.25">
      <c r="A8" s="3" t="s">
        <v>156</v>
      </c>
      <c r="B8" s="12">
        <v>315900</v>
      </c>
      <c r="C8" s="12">
        <v>876820</v>
      </c>
      <c r="D8" s="12">
        <v>1694532</v>
      </c>
      <c r="E8" s="12">
        <v>2806149</v>
      </c>
      <c r="F8" s="12">
        <v>4224160</v>
      </c>
    </row>
    <row r="9" spans="1:6" x14ac:dyDescent="0.25">
      <c r="A9" s="3" t="s">
        <v>157</v>
      </c>
      <c r="B9" s="12">
        <v>37425</v>
      </c>
      <c r="C9" s="12">
        <v>38432</v>
      </c>
      <c r="D9" s="12">
        <v>39445</v>
      </c>
      <c r="E9" s="12">
        <v>40467</v>
      </c>
      <c r="F9" s="12">
        <v>41496</v>
      </c>
    </row>
    <row r="10" spans="1:6" x14ac:dyDescent="0.25">
      <c r="A10" s="4" t="s">
        <v>158</v>
      </c>
      <c r="B10" s="22">
        <f>IF(B9=0,0,B8/B9)</f>
        <v>8.440881763527054</v>
      </c>
      <c r="C10" s="22">
        <f>IF(C9=0,0,C8/C9)</f>
        <v>22.81484179850125</v>
      </c>
      <c r="D10" s="22">
        <f>IF(D9=0,0,D8/D9)</f>
        <v>42.95936113575865</v>
      </c>
      <c r="E10" s="22">
        <f>IF(E9=0,0,E8/E9)</f>
        <v>69.34413225591223</v>
      </c>
      <c r="F10" s="22">
        <f>IF(F9=0,0,F8/F9)</f>
        <v>101.79679969153653</v>
      </c>
    </row>
    <row r="11" spans="1:6" x14ac:dyDescent="0.25">
      <c r="A11" s="3" t="s">
        <v>159</v>
      </c>
      <c r="B11" s="12">
        <v>257</v>
      </c>
      <c r="C11" s="12">
        <v>694</v>
      </c>
      <c r="D11" s="12">
        <v>1307</v>
      </c>
      <c r="E11" s="12">
        <v>2109</v>
      </c>
      <c r="F11" s="12">
        <v>3096</v>
      </c>
    </row>
    <row r="13" ht="24" customHeight="1" spans="1:6" x14ac:dyDescent="0.25">
      <c r="A13" s="2" t="s">
        <v>160</v>
      </c>
      <c r="B13" s="2"/>
      <c r="C13" s="2"/>
      <c r="D13" s="2"/>
      <c r="E13" s="2"/>
      <c r="F13" s="2"/>
    </row>
    <row r="14" spans="1:6" x14ac:dyDescent="0.25">
      <c r="A14" s="3" t="s">
        <v>161</v>
      </c>
      <c r="B14" s="23" t="s">
        <v>154</v>
      </c>
      <c r="C14" s="23" t="s">
        <v>154</v>
      </c>
      <c r="D14" s="23" t="s">
        <v>154</v>
      </c>
      <c r="E14" s="23" t="s">
        <v>154</v>
      </c>
      <c r="F14" s="23" t="s">
        <v>154</v>
      </c>
    </row>
    <row r="15" spans="1:6" x14ac:dyDescent="0.25">
      <c r="A15" s="3" t="s">
        <v>162</v>
      </c>
      <c r="B15" s="24" t="s">
        <v>163</v>
      </c>
      <c r="C15" s="24" t="s">
        <v>163</v>
      </c>
      <c r="D15" s="24" t="s">
        <v>163</v>
      </c>
      <c r="E15" s="24" t="s">
        <v>163</v>
      </c>
      <c r="F15" s="24" t="s">
        <v>163</v>
      </c>
    </row>
    <row r="16" spans="1:6" x14ac:dyDescent="0.25">
      <c r="A16" s="3" t="s">
        <v>164</v>
      </c>
      <c r="B16" s="24" t="s">
        <v>163</v>
      </c>
      <c r="C16" s="24" t="s">
        <v>163</v>
      </c>
      <c r="D16" s="24" t="s">
        <v>163</v>
      </c>
      <c r="E16" s="24" t="s">
        <v>163</v>
      </c>
      <c r="F16" s="24" t="s">
        <v>163</v>
      </c>
    </row>
    <row r="17" spans="1:6" x14ac:dyDescent="0.25">
      <c r="A17" s="3" t="s">
        <v>165</v>
      </c>
      <c r="B17" s="25" t="s">
        <v>166</v>
      </c>
      <c r="C17" s="25" t="s">
        <v>166</v>
      </c>
      <c r="D17" s="25" t="s">
        <v>166</v>
      </c>
      <c r="E17" s="24" t="s">
        <v>163</v>
      </c>
      <c r="F17" s="24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26" t="s">
        <v>167</v>
      </c>
      <c r="B1" s="26"/>
      <c r="C1" s="26"/>
    </row>
    <row r="2" spans="1:3" x14ac:dyDescent="0.25">
      <c r="A2" s="27" t="s">
        <v>168</v>
      </c>
      <c r="B2" s="27"/>
      <c r="C2" s="27"/>
    </row>
    <row r="4" ht="24" customHeight="1" spans="1:3" x14ac:dyDescent="0.25">
      <c r="A4" s="2" t="s">
        <v>169</v>
      </c>
      <c r="B4" s="2"/>
      <c r="C4" s="2"/>
    </row>
    <row r="5" spans="1:3" x14ac:dyDescent="0.25">
      <c r="A5" s="3" t="s">
        <v>170</v>
      </c>
      <c r="B5" s="24" t="s">
        <v>163</v>
      </c>
      <c r="C5" s="3" t="s">
        <v>171</v>
      </c>
    </row>
    <row r="6" spans="1:3" x14ac:dyDescent="0.25">
      <c r="A6" s="3" t="s">
        <v>172</v>
      </c>
      <c r="B6" s="24" t="s">
        <v>163</v>
      </c>
      <c r="C6" s="3" t="s">
        <v>173</v>
      </c>
    </row>
    <row r="7" spans="1:3" x14ac:dyDescent="0.25">
      <c r="A7" s="3" t="s">
        <v>174</v>
      </c>
      <c r="B7" s="24" t="s">
        <v>163</v>
      </c>
      <c r="C7" s="3" t="s">
        <v>29</v>
      </c>
    </row>
    <row r="8" spans="1:3" x14ac:dyDescent="0.25">
      <c r="A8" s="3" t="s">
        <v>175</v>
      </c>
      <c r="B8" s="25" t="s">
        <v>166</v>
      </c>
      <c r="C8" s="3" t="s">
        <v>176</v>
      </c>
    </row>
    <row r="9" spans="1:3" x14ac:dyDescent="0.25">
      <c r="A9" s="3" t="s">
        <v>177</v>
      </c>
      <c r="B9" s="24" t="s">
        <v>163</v>
      </c>
      <c r="C9" s="3" t="s">
        <v>173</v>
      </c>
    </row>
    <row r="11" ht="24" customHeight="1" spans="1:3" x14ac:dyDescent="0.25">
      <c r="A11" s="2" t="s">
        <v>178</v>
      </c>
      <c r="B11" s="2"/>
      <c r="C11" s="2"/>
    </row>
    <row r="12" spans="1:2" x14ac:dyDescent="0.25">
      <c r="A12" s="3" t="s">
        <v>179</v>
      </c>
      <c r="B12" s="4" t="s">
        <v>180</v>
      </c>
    </row>
    <row r="13" spans="1:2" x14ac:dyDescent="0.25">
      <c r="A13" s="3" t="s">
        <v>181</v>
      </c>
      <c r="B13" s="28" t="s">
        <v>182</v>
      </c>
    </row>
    <row r="15" ht="24" customHeight="1" spans="1:3" x14ac:dyDescent="0.25">
      <c r="A15" s="2" t="s">
        <v>183</v>
      </c>
      <c r="B15" s="2"/>
      <c r="C15" s="2"/>
    </row>
    <row r="16" spans="1:2" x14ac:dyDescent="0.25">
      <c r="A16" s="3" t="s">
        <v>184</v>
      </c>
      <c r="B16" s="5">
        <v>765000</v>
      </c>
    </row>
    <row r="17" spans="1:2" x14ac:dyDescent="0.25">
      <c r="A17" s="3" t="s">
        <v>185</v>
      </c>
      <c r="B17" s="5">
        <v>449100</v>
      </c>
    </row>
    <row r="18" spans="1:2" x14ac:dyDescent="0.25">
      <c r="A18" s="3" t="s">
        <v>186</v>
      </c>
      <c r="B18" s="5">
        <v>315900</v>
      </c>
    </row>
    <row r="19" spans="1:2" x14ac:dyDescent="0.25">
      <c r="A19" s="3" t="s">
        <v>187</v>
      </c>
      <c r="B19" s="6">
        <v>0.41294117647058826</v>
      </c>
    </row>
    <row r="20" spans="1:2" x14ac:dyDescent="0.25">
      <c r="A20" s="3" t="s">
        <v>130</v>
      </c>
      <c r="B20" s="5">
        <v>0</v>
      </c>
    </row>
    <row r="21" spans="1:2" x14ac:dyDescent="0.25">
      <c r="A21" s="3" t="s">
        <v>188</v>
      </c>
      <c r="B21" s="5">
        <v>315900</v>
      </c>
    </row>
    <row r="22" spans="1:2" x14ac:dyDescent="0.25">
      <c r="A22" s="3" t="s">
        <v>189</v>
      </c>
      <c r="B22" s="5">
        <v>0</v>
      </c>
    </row>
    <row r="23" spans="1:2" x14ac:dyDescent="0.25">
      <c r="A23" s="3" t="s">
        <v>190</v>
      </c>
      <c r="B23" s="4" t="s">
        <v>154</v>
      </c>
    </row>
    <row r="24" spans="1:2" x14ac:dyDescent="0.25">
      <c r="A24" s="3" t="s">
        <v>191</v>
      </c>
      <c r="B24" s="4" t="s">
        <v>192</v>
      </c>
    </row>
    <row r="25" spans="1:2" x14ac:dyDescent="0.25">
      <c r="A25" s="3" t="s">
        <v>193</v>
      </c>
      <c r="B25" s="4" t="s">
        <v>29</v>
      </c>
    </row>
    <row r="26" spans="1:2" x14ac:dyDescent="0.25">
      <c r="A26" s="3" t="s">
        <v>194</v>
      </c>
      <c r="B26" s="5">
        <v>12750</v>
      </c>
    </row>
    <row r="27" spans="1:2" x14ac:dyDescent="0.25">
      <c r="A27" s="3" t="s">
        <v>195</v>
      </c>
      <c r="B27" s="5">
        <v>7485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2" customHeight="1" spans="1:6" x14ac:dyDescent="0.25">
      <c r="A1" s="1" t="s">
        <v>196</v>
      </c>
      <c r="B1" s="1"/>
      <c r="C1" s="1"/>
      <c r="D1" s="1"/>
      <c r="E1" s="1"/>
      <c r="F1" s="1"/>
    </row>
    <row r="3" ht="28" customHeight="1" spans="1:6" x14ac:dyDescent="0.25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</row>
    <row r="4" spans="1:6" x14ac:dyDescent="0.25">
      <c r="A4" s="3" t="s">
        <v>34</v>
      </c>
      <c r="B4" s="12">
        <v>60</v>
      </c>
      <c r="C4" s="12">
        <v>90</v>
      </c>
      <c r="D4" s="12">
        <v>120</v>
      </c>
      <c r="E4" s="12">
        <v>150</v>
      </c>
      <c r="F4" s="12">
        <v>180</v>
      </c>
    </row>
    <row r="5" spans="1:6" x14ac:dyDescent="0.25">
      <c r="A5" s="4" t="s">
        <v>133</v>
      </c>
      <c r="B5" s="9">
        <v>765000</v>
      </c>
      <c r="C5" s="9">
        <v>1022100</v>
      </c>
      <c r="D5" s="9">
        <v>1291056</v>
      </c>
      <c r="E5" s="9">
        <v>1597221</v>
      </c>
      <c r="F5" s="9">
        <v>1915959</v>
      </c>
    </row>
    <row r="6" spans="1:6" x14ac:dyDescent="0.25">
      <c r="A6" s="3" t="s">
        <v>123</v>
      </c>
      <c r="B6" s="12">
        <v>321100</v>
      </c>
      <c r="C6" s="12">
        <v>321100</v>
      </c>
      <c r="D6" s="12">
        <v>321100</v>
      </c>
      <c r="E6" s="12">
        <v>321100</v>
      </c>
      <c r="F6" s="12">
        <v>321100</v>
      </c>
    </row>
    <row r="7" spans="1:6" x14ac:dyDescent="0.25">
      <c r="A7" s="3" t="s">
        <v>124</v>
      </c>
      <c r="B7" s="12">
        <v>128000</v>
      </c>
      <c r="C7" s="12">
        <v>140080</v>
      </c>
      <c r="D7" s="12">
        <v>152244</v>
      </c>
      <c r="E7" s="12">
        <v>164504</v>
      </c>
      <c r="F7" s="12">
        <v>176848</v>
      </c>
    </row>
    <row r="8" spans="1:6" x14ac:dyDescent="0.25">
      <c r="A8" s="3" t="s">
        <v>197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</row>
    <row r="9" ht="24" customHeight="1" spans="1:6" x14ac:dyDescent="0.25">
      <c r="A9" s="2" t="s">
        <v>126</v>
      </c>
      <c r="B9" s="20">
        <v>449100</v>
      </c>
      <c r="C9" s="20">
        <v>461180</v>
      </c>
      <c r="D9" s="20">
        <v>473344</v>
      </c>
      <c r="E9" s="20">
        <v>485604</v>
      </c>
      <c r="F9" s="20">
        <v>497948</v>
      </c>
    </row>
    <row r="10" spans="1:6" x14ac:dyDescent="0.25">
      <c r="A10" s="4" t="s">
        <v>135</v>
      </c>
      <c r="B10" s="9">
        <v>315900</v>
      </c>
      <c r="C10" s="9">
        <v>560920</v>
      </c>
      <c r="D10" s="9">
        <v>817712</v>
      </c>
      <c r="E10" s="9">
        <v>1111617</v>
      </c>
      <c r="F10" s="9">
        <v>1418011</v>
      </c>
    </row>
    <row r="11" spans="1:6" x14ac:dyDescent="0.25">
      <c r="A11" s="3" t="s">
        <v>136</v>
      </c>
      <c r="B11" s="11">
        <v>0.41294117647058826</v>
      </c>
      <c r="C11" s="11">
        <v>0.548791703355836</v>
      </c>
      <c r="D11" s="11">
        <v>0.6333667943141119</v>
      </c>
      <c r="E11" s="11">
        <v>0.695969436915743</v>
      </c>
      <c r="F11" s="11">
        <v>0.7401050857560104</v>
      </c>
    </row>
    <row r="12" spans="1:6" x14ac:dyDescent="0.25">
      <c r="A12" s="4" t="s">
        <v>137</v>
      </c>
      <c r="B12" s="9">
        <v>315900</v>
      </c>
      <c r="C12" s="9">
        <v>876820</v>
      </c>
      <c r="D12" s="9">
        <v>1694532</v>
      </c>
      <c r="E12" s="9">
        <v>2806149</v>
      </c>
      <c r="F12" s="9">
        <v>4224160</v>
      </c>
    </row>
    <row r="13" spans="1:6" x14ac:dyDescent="0.25">
      <c r="A13" s="4" t="s">
        <v>198</v>
      </c>
      <c r="B13" s="9">
        <v>315900</v>
      </c>
      <c r="C13" s="9">
        <v>876820</v>
      </c>
      <c r="D13" s="9">
        <v>1694532</v>
      </c>
      <c r="E13" s="9">
        <v>2806149</v>
      </c>
      <c r="F13" s="9">
        <v>4224160</v>
      </c>
    </row>
    <row r="14" spans="1:6" x14ac:dyDescent="0.25">
      <c r="A14" s="3" t="s">
        <v>199</v>
      </c>
      <c r="B14" s="12">
        <v>12750</v>
      </c>
      <c r="C14" s="12">
        <v>11357</v>
      </c>
      <c r="D14" s="12">
        <v>10759</v>
      </c>
      <c r="E14" s="12">
        <v>10648</v>
      </c>
      <c r="F14" s="12">
        <v>10644</v>
      </c>
    </row>
    <row r="15" spans="1:6" x14ac:dyDescent="0.25">
      <c r="A15" s="3" t="s">
        <v>86</v>
      </c>
      <c r="B15" s="12">
        <v>7485</v>
      </c>
      <c r="C15" s="12">
        <v>5124</v>
      </c>
      <c r="D15" s="12">
        <v>3945</v>
      </c>
      <c r="E15" s="12">
        <v>3237</v>
      </c>
      <c r="F15" s="12">
        <v>2766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Sources &amp;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— Underwriting Export</dc:creator>
  <dc:title/>
  <dc:subject/>
  <dc:description/>
  <cp:keywords/>
  <cp:category/>
  <cp:lastModifiedBy>Unknown</cp:lastModifiedBy>
  <dcterms:created xsi:type="dcterms:W3CDTF">2026-03-15T02:31:42Z</dcterms:created>
  <dcterms:modified xsi:type="dcterms:W3CDTF">2026-03-15T02:31:42Z</dcterms:modified>
</cp:coreProperties>
</file>